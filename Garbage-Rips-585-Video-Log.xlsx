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"Poké Pad" (Nihil Zero (JP)) -- the checklist holds it and carries no scan and no price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239</v>
      </c>
      <c r="E2" s="11" t="inlineStr">
        <is>
          <t>0:21</t>
        </is>
      </c>
      <c r="F2" s="13">
        <f>HYPERLINK("https://youtu.be/b1B3Vbpsrh8","watch")</f>
        <v/>
      </c>
      <c r="G2" s="14" t="inlineStr">
        <is>
          <t>desc: pack 10  Pitch Black</t>
        </is>
      </c>
      <c r="H2" s="15" t="inlineStr">
        <is>
          <t>Single Booster Pack</t>
        </is>
      </c>
      <c r="I2" s="15" t="n">
        <v>10</v>
      </c>
      <c r="J2" s="15" t="inlineStr">
        <is>
          <t>Yes</t>
        </is>
      </c>
      <c r="K2" s="15" t="inlineStr">
        <is>
          <t>Gladion’s Final Battle - Double Gold Star - Special Illustration Rare</t>
        </is>
      </c>
      <c r="L2" s="15" t="inlineStr">
        <is>
          <t>Pitch Black</t>
        </is>
      </c>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inlineStr">
        <is>
          <t>ETB</t>
        </is>
      </c>
      <c r="I3" s="15" t="n">
        <v>4</v>
      </c>
      <c r="J3" s="15" t="inlineStr">
        <is>
          <t>No</t>
        </is>
      </c>
      <c r="K3" s="15" t="n"/>
      <c r="L3" s="15" t="inlineStr">
        <is>
          <t>Chaos Rising</t>
        </is>
      </c>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inlineStr">
        <is>
          <t>Single Booster Pack</t>
        </is>
      </c>
      <c r="I4" s="15" t="n">
        <v>14</v>
      </c>
      <c r="J4" s="15" t="inlineStr">
        <is>
          <t>No</t>
        </is>
      </c>
      <c r="K4" s="15" t="n"/>
      <c r="L4" s="15" t="inlineStr">
        <is>
          <t>Chaos Rising</t>
        </is>
      </c>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1" t="inlineStr">
        <is>
          <t>auKzs0g2LL8</t>
        </is>
      </c>
      <c r="B169" s="11" t="inlineStr">
        <is>
          <t>Do Mega Symphonia Packs Actually Hit?! 🇯🇵✨</t>
        </is>
      </c>
      <c r="C169" s="11" t="inlineStr">
        <is>
          <t>2026-05-16</t>
        </is>
      </c>
      <c r="D169" s="12" t="n">
        <v>934</v>
      </c>
      <c r="E169" s="11" t="inlineStr">
        <is>
          <t>0:42</t>
        </is>
      </c>
      <c r="F169" s="13">
        <f>HYPERLINK("https://youtu.be/auKzs0g2LL8","watch")</f>
        <v/>
      </c>
      <c r="G169" s="15" t="n"/>
      <c r="H169" s="15" t="inlineStr">
        <is>
          <t>Japanese Single Booster Pack</t>
        </is>
      </c>
      <c r="I169" s="15" t="n"/>
      <c r="J169" s="15" t="inlineStr">
        <is>
          <t>Yes</t>
        </is>
      </c>
      <c r="K169" s="15" t="inlineStr">
        <is>
          <t>Mega Abomasnow ex - RR - Double Rare , Rare Candy - SR - Full Art</t>
        </is>
      </c>
      <c r="L169" s="15" t="inlineStr">
        <is>
          <t>Mega Symphonia - 5 Packs</t>
        </is>
      </c>
      <c r="M169" s="15" t="n"/>
      <c r="N169" s="15" t="n"/>
      <c r="O169" s="15" t="n"/>
      <c r="P169" s="15" t="n"/>
      <c r="Q169" s="15" t="n"/>
      <c r="R169" s="15" t="n"/>
      <c r="S169" s="15" t="n"/>
      <c r="T169" s="15" t="n"/>
      <c r="U169" s="15"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Crown Zenith - Paras - Galarian Gallery - Rare</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1" t="inlineStr">
        <is>
          <t>J-Gqbe3jPn4</t>
        </is>
      </c>
      <c r="B231" s="11" t="inlineStr">
        <is>
          <t>Opening My FIRST Chilling Reign Pack 😬</t>
        </is>
      </c>
      <c r="C231" s="11" t="inlineStr">
        <is>
          <t>2026-04-15</t>
        </is>
      </c>
      <c r="D231" s="12" t="n">
        <v>1136</v>
      </c>
      <c r="E231" s="11" t="inlineStr">
        <is>
          <t>0:25</t>
        </is>
      </c>
      <c r="F231" s="13">
        <f>HYPERLINK("https://youtu.be/J-Gqbe3jPn4","watch")</f>
        <v/>
      </c>
      <c r="G231" s="14" t="inlineStr">
        <is>
          <t>Chilling Reign</t>
        </is>
      </c>
      <c r="H231" s="15" t="inlineStr">
        <is>
          <t>Single Booster Pack</t>
        </is>
      </c>
      <c r="I231" s="15" t="n">
        <v>1</v>
      </c>
      <c r="J231" s="15" t="inlineStr">
        <is>
          <t>Yes</t>
        </is>
      </c>
      <c r="K231" s="15" t="inlineStr">
        <is>
          <t>Fighting Energy - Secret Rare</t>
        </is>
      </c>
      <c r="L231" s="15" t="inlineStr">
        <is>
          <t>Chilling Reign</t>
        </is>
      </c>
      <c r="M231" s="15" t="n"/>
      <c r="N231" s="15" t="n"/>
      <c r="O231" s="15" t="n"/>
      <c r="P231" s="15" t="n"/>
      <c r="Q231" s="15" t="n"/>
      <c r="R231" s="15" t="n"/>
      <c r="S231" s="15" t="n"/>
      <c r="T231" s="15" t="n"/>
      <c r="U231" s="15"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1" t="inlineStr">
        <is>
          <t>fZk7D5Wd0Eg</t>
        </is>
      </c>
      <c r="B241" s="11" t="inlineStr">
        <is>
          <t>Ascended Heroes First Partners Deluxe Pin Collection 🌱🔥💧</t>
        </is>
      </c>
      <c r="C241" s="11" t="inlineStr">
        <is>
          <t>2026-04-10</t>
        </is>
      </c>
      <c r="D241" s="12" t="n">
        <v>835</v>
      </c>
      <c r="E241" s="11" t="inlineStr">
        <is>
          <t>1:12</t>
        </is>
      </c>
      <c r="F241" s="13">
        <f>HYPERLINK("https://youtu.be/fZk7D5Wd0Eg","watch")</f>
        <v/>
      </c>
      <c r="G241" s="14" t="inlineStr">
        <is>
          <t>Ascended Heroes</t>
        </is>
      </c>
      <c r="H241" s="15" t="inlineStr">
        <is>
          <t>First Partners Deluxe Pin Collection</t>
        </is>
      </c>
      <c r="I241" s="15" t="n">
        <v>1</v>
      </c>
      <c r="J241" s="15" t="inlineStr">
        <is>
          <t>Yes</t>
        </is>
      </c>
      <c r="K241" s="15" t="inlineStr">
        <is>
          <t>Anthea &amp; Concordia - Double Silver Star - Ultra Rare ; Togekiss - Single Gold Star - Illustration Rare</t>
        </is>
      </c>
      <c r="L241" s="15" t="inlineStr">
        <is>
          <t>Ascended Heroes - 5 Packs</t>
        </is>
      </c>
      <c r="M241" s="15" t="n"/>
      <c r="N241" s="15" t="n"/>
      <c r="O241" s="15" t="n"/>
      <c r="P241" s="15" t="n"/>
      <c r="Q241" s="15" t="n"/>
      <c r="R241" s="15" t="n"/>
      <c r="S241" s="15" t="n"/>
      <c r="T241" s="15" t="n"/>
      <c r="U241" s="15"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inlineStr">
        <is>
          <t>Yes</t>
        </is>
      </c>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1" t="inlineStr">
        <is>
          <t>i9htInhtbCw</t>
        </is>
      </c>
      <c r="B243" s="11" t="inlineStr">
        <is>
          <t>FINAL Pokémon GO Pack ⚡ | Mewtwo or Ditto?! 😬</t>
        </is>
      </c>
      <c r="C243" s="11" t="inlineStr">
        <is>
          <t>2026-04-09</t>
        </is>
      </c>
      <c r="D243" s="12" t="n">
        <v>298</v>
      </c>
      <c r="E243" s="11" t="inlineStr">
        <is>
          <t>0:19</t>
        </is>
      </c>
      <c r="F243" s="13">
        <f>HYPERLINK("https://youtu.be/i9htInhtbCw","watch")</f>
        <v/>
      </c>
      <c r="G243" s="14" t="inlineStr">
        <is>
          <t>Pokémon GO</t>
        </is>
      </c>
      <c r="H243" s="15" t="inlineStr">
        <is>
          <t>Single Booster Pack</t>
        </is>
      </c>
      <c r="I243" s="15" t="n">
        <v>10</v>
      </c>
      <c r="J243" s="15" t="inlineStr">
        <is>
          <t>Yes</t>
        </is>
      </c>
      <c r="K243" s="15" t="inlineStr">
        <is>
          <t>Egg Incubator - Secret Rare</t>
        </is>
      </c>
      <c r="L243" s="15" t="inlineStr">
        <is>
          <t>Pokémon GO</t>
        </is>
      </c>
      <c r="M243" s="15" t="n"/>
      <c r="N243" s="15" t="n"/>
      <c r="O243" s="15" t="n"/>
      <c r="P243" s="15" t="n"/>
      <c r="Q243" s="15" t="n"/>
      <c r="R243" s="15" t="n"/>
      <c r="S243" s="15" t="n"/>
      <c r="T243" s="15" t="n"/>
      <c r="U243" s="15"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1" t="inlineStr">
        <is>
          <t>GLM2VLIWZGo</t>
        </is>
      </c>
      <c r="B250" s="11" t="inlineStr">
        <is>
          <t>Mega Charizard Y EX Tin 🔥 | Did We Hit?!</t>
        </is>
      </c>
      <c r="C250" s="11" t="inlineStr">
        <is>
          <t>2026-04-05</t>
        </is>
      </c>
      <c r="D250" s="12" t="n">
        <v>829</v>
      </c>
      <c r="E250" s="11" t="inlineStr">
        <is>
          <t>1:03</t>
        </is>
      </c>
      <c r="F250" s="13">
        <f>HYPERLINK("https://youtu.be/GLM2VLIWZGo","watch")</f>
        <v/>
      </c>
      <c r="G250" s="14" t="inlineStr">
        <is>
          <t>Tin</t>
        </is>
      </c>
      <c r="H250" s="15" t="inlineStr">
        <is>
          <t>Tin</t>
        </is>
      </c>
      <c r="I250" s="15" t="n">
        <v>1</v>
      </c>
      <c r="J250" s="15" t="inlineStr">
        <is>
          <t>Yes</t>
        </is>
      </c>
      <c r="K250" s="15" t="inlineStr">
        <is>
          <t>Mega Charizard Y ex - Black Star Promo ; Journey Together - N's Zoroark ex - Double Black Star - Double Rare ; Mega Evolution - Marshadow - Single Gold Star - Illustration Rare ; Phantasmal Flames - Mega Lopunny ex - Double Black Star - Double Rare</t>
        </is>
      </c>
      <c r="L250" s="15" t="inlineStr">
        <is>
          <t>Phantasmal Flames - 2 Packs ; Mega Evolution - 1 Pack ; Journey Together - 1 Pack</t>
        </is>
      </c>
      <c r="M250" s="15" t="n"/>
      <c r="N250" s="15" t="n"/>
      <c r="O250" s="15" t="n"/>
      <c r="P250" s="15" t="n"/>
      <c r="Q250" s="15" t="n"/>
      <c r="R250" s="15" t="n"/>
      <c r="S250" s="15" t="n"/>
      <c r="T250" s="15" t="n"/>
      <c r="U250" s="15"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1" t="inlineStr">
        <is>
          <t>IuEb3qtjflI</t>
        </is>
      </c>
      <c r="B291" s="11" t="inlineStr">
        <is>
          <t>Only Garbage Rips? 😬 | Surging Sparks Pack #1</t>
        </is>
      </c>
      <c r="C291" s="11" t="inlineStr">
        <is>
          <t>2026-03-03</t>
        </is>
      </c>
      <c r="D291" s="12" t="n">
        <v>475</v>
      </c>
      <c r="E291" s="11" t="inlineStr">
        <is>
          <t>0:21</t>
        </is>
      </c>
      <c r="F291" s="13">
        <f>HYPERLINK("https://youtu.be/IuEb3qtjflI","watch")</f>
        <v/>
      </c>
      <c r="G291" s="14" t="inlineStr">
        <is>
          <t>title: pack 1  Surging Sparks</t>
        </is>
      </c>
      <c r="H291" s="15" t="inlineStr">
        <is>
          <t>Single Booster Pack</t>
        </is>
      </c>
      <c r="I291" s="15" t="n">
        <v>1</v>
      </c>
      <c r="J291" s="15" t="inlineStr">
        <is>
          <t>Yes</t>
        </is>
      </c>
      <c r="K291" s="15" t="inlineStr">
        <is>
          <t>Enriching Energy - Pink Star - ACE SPEC Rare</t>
        </is>
      </c>
      <c r="L291" s="15" t="inlineStr">
        <is>
          <t>Surging Sparks</t>
        </is>
      </c>
      <c r="M291" s="15" t="n"/>
      <c r="N291" s="15" t="n"/>
      <c r="O291" s="15" t="n"/>
      <c r="P291" s="15" t="n"/>
      <c r="Q291" s="15" t="n"/>
      <c r="R291" s="15" t="n"/>
      <c r="S291" s="15" t="n"/>
      <c r="T291" s="15" t="n"/>
      <c r="U291" s="15"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1" t="inlineStr">
        <is>
          <t>F9mAQqKd6r8</t>
        </is>
      </c>
      <c r="B293" s="11" t="inlineStr">
        <is>
          <t>Only Garbage Rips? 😬 | Mega Charizard X Tin</t>
        </is>
      </c>
      <c r="C293" s="11" t="inlineStr">
        <is>
          <t>2026-03-01</t>
        </is>
      </c>
      <c r="D293" s="12" t="n">
        <v>24</v>
      </c>
      <c r="E293" s="11" t="inlineStr">
        <is>
          <t>0:49</t>
        </is>
      </c>
      <c r="F293" s="13">
        <f>HYPERLINK("https://youtu.be/F9mAQqKd6r8","watch")</f>
        <v/>
      </c>
      <c r="G293" s="14" t="inlineStr">
        <is>
          <t>Tin</t>
        </is>
      </c>
      <c r="H293" s="15" t="inlineStr">
        <is>
          <t>Tin</t>
        </is>
      </c>
      <c r="I293" s="15" t="n"/>
      <c r="J293" s="15" t="inlineStr">
        <is>
          <t>Yes</t>
        </is>
      </c>
      <c r="K293" s="15" t="inlineStr">
        <is>
          <t>Mega Charizard X ex - Black Star Promo ; Phantasmal Flames - Empoleon ex - Double Black Star - Double Rare</t>
        </is>
      </c>
      <c r="L293" s="15" t="inlineStr">
        <is>
          <t>Phantasmal Flames - 2 Packs ; Mega Evolution - 1 Pack ; Journey Together - 1 Pack</t>
        </is>
      </c>
      <c r="M293" s="15" t="n"/>
      <c r="N293" s="15" t="n"/>
      <c r="O293" s="15" t="n"/>
      <c r="P293" s="15" t="n"/>
      <c r="Q293" s="15" t="n"/>
      <c r="R293" s="15" t="n"/>
      <c r="S293" s="15" t="n"/>
      <c r="T293" s="15" t="n"/>
      <c r="U293" s="15"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1" t="inlineStr">
        <is>
          <t>Ab81MNFnDLw</t>
        </is>
      </c>
      <c r="B304" s="11" t="inlineStr">
        <is>
          <t>Only Garbage Rips 😬 | Garbodor Unova Mini Tin (Rochester’s Pokémon)</t>
        </is>
      </c>
      <c r="C304" s="11" t="inlineStr">
        <is>
          <t>2026-02-18</t>
        </is>
      </c>
      <c r="D304" s="12" t="n">
        <v>1542</v>
      </c>
      <c r="E304" s="11" t="inlineStr">
        <is>
          <t>0:40</t>
        </is>
      </c>
      <c r="F304" s="13">
        <f>HYPERLINK("https://youtu.be/Ab81MNFnDLw","watch")</f>
        <v/>
      </c>
      <c r="G304" s="14" t="inlineStr">
        <is>
          <t>Tin</t>
        </is>
      </c>
      <c r="H304" s="15" t="inlineStr">
        <is>
          <t>Mini Tin</t>
        </is>
      </c>
      <c r="I304" s="15" t="n"/>
      <c r="J304" s="15" t="inlineStr">
        <is>
          <t>Yes</t>
        </is>
      </c>
      <c r="K304" s="15" t="inlineStr">
        <is>
          <t>Black Bolt - Panpour - Single Gold Star - Illustration Rare</t>
        </is>
      </c>
      <c r="L304" s="15" t="inlineStr">
        <is>
          <t>Black Bolt - 1 Pack, White Flare - 1 Pack</t>
        </is>
      </c>
      <c r="M304" s="15" t="n"/>
      <c r="N304" s="15" t="n"/>
      <c r="O304" s="15" t="n"/>
      <c r="P304" s="15" t="n"/>
      <c r="Q304" s="15" t="n"/>
      <c r="R304" s="15" t="n"/>
      <c r="S304" s="15" t="n"/>
      <c r="T304" s="15" t="n"/>
      <c r="U304" s="15"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inlineStr">
        <is>
          <t>085</t>
        </is>
      </c>
      <c r="E38" s="15" t="inlineStr">
        <is>
          <t>Super Rare</t>
        </is>
      </c>
      <c r="F38" s="27" t="n">
        <v>1.74</v>
      </c>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inlineStr">
        <is>
          <t>025</t>
        </is>
      </c>
      <c r="E42" s="15" t="inlineStr">
        <is>
          <t>Black Star Promo</t>
        </is>
      </c>
      <c r="F42" s="27" t="n">
        <v>1</v>
      </c>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inlineStr">
        <is>
          <t>084</t>
        </is>
      </c>
      <c r="E79" s="15" t="inlineStr">
        <is>
          <t>Art Rare</t>
        </is>
      </c>
      <c r="F79" s="27" t="n">
        <v>5.87</v>
      </c>
      <c r="G79" s="27" t="n"/>
      <c r="H79" s="15" t="n"/>
      <c r="I79" s="15" t="n"/>
    </row>
    <row r="80">
      <c r="A80" s="15" t="inlineStr">
        <is>
          <t>0vpWimyqJIE</t>
        </is>
      </c>
      <c r="B80" s="15" t="inlineStr">
        <is>
          <t>Manectric</t>
        </is>
      </c>
      <c r="C80" s="15" t="inlineStr">
        <is>
          <t>Abyss Eye (JP)</t>
        </is>
      </c>
      <c r="D80" s="15" t="inlineStr">
        <is>
          <t>086</t>
        </is>
      </c>
      <c r="E80" s="15" t="inlineStr">
        <is>
          <t>Art Rare</t>
        </is>
      </c>
      <c r="F80" s="27" t="n">
        <v>2.48</v>
      </c>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inlineStr">
        <is>
          <t>107</t>
        </is>
      </c>
      <c r="E103" s="15" t="inlineStr">
        <is>
          <t>Art Rare</t>
        </is>
      </c>
      <c r="F103" s="27" t="n">
        <v>1.3</v>
      </c>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7" t="n">
        <v>0.35</v>
      </c>
      <c r="G107" s="27" t="n"/>
      <c r="H107" s="15" t="n"/>
      <c r="I107" s="15" t="n"/>
    </row>
    <row r="108">
      <c r="A108" s="15" t="inlineStr">
        <is>
          <t>auKzs0g2LL8</t>
        </is>
      </c>
      <c r="B108" s="15" t="inlineStr">
        <is>
          <t>Rare Candy</t>
        </is>
      </c>
      <c r="C108" s="15" t="inlineStr">
        <is>
          <t>Mega Symphonia (JP)</t>
        </is>
      </c>
      <c r="D108" s="15" t="inlineStr">
        <is>
          <t>082</t>
        </is>
      </c>
      <c r="E108" s="15" t="inlineStr">
        <is>
          <t>Super Rare</t>
        </is>
      </c>
      <c r="F108" s="27" t="n">
        <v>0.88</v>
      </c>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inlineStr">
        <is>
          <t>111</t>
        </is>
      </c>
      <c r="E112" s="15" t="inlineStr">
        <is>
          <t>Art Rare</t>
        </is>
      </c>
      <c r="F112" s="27" t="n">
        <v>2.6</v>
      </c>
      <c r="G112" s="27" t="n"/>
      <c r="H112" s="15" t="n"/>
      <c r="I112" s="15" t="n"/>
    </row>
    <row r="113">
      <c r="A113" s="15" t="inlineStr">
        <is>
          <t>bh8OGK_jE2Y</t>
        </is>
      </c>
      <c r="B113" s="15" t="inlineStr">
        <is>
          <t>Raboot</t>
        </is>
      </c>
      <c r="C113" s="15" t="inlineStr">
        <is>
          <t>Stellar Miracle (JP)</t>
        </is>
      </c>
      <c r="D113" s="15" t="inlineStr">
        <is>
          <t>106</t>
        </is>
      </c>
      <c r="E113" s="15" t="inlineStr">
        <is>
          <t>Art Rare</t>
        </is>
      </c>
      <c r="F113" s="27" t="n">
        <v>2.71</v>
      </c>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Poké Pad</t>
        </is>
      </c>
      <c r="C124" s="15" t="inlineStr">
        <is>
          <t>Nihil Zero (JP)</t>
        </is>
      </c>
      <c r="D124" s="15" t="inlineStr">
        <is>
          <t>103</t>
        </is>
      </c>
      <c r="E124" s="15" t="inlineStr">
        <is>
          <t>Super Rare</t>
        </is>
      </c>
      <c r="F124" s="27" t="n">
        <v>2.02</v>
      </c>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t>
        </is>
      </c>
      <c r="C126" s="15" t="inlineStr">
        <is>
          <t>Pokémon GO</t>
        </is>
      </c>
      <c r="D126" s="15" t="n"/>
      <c r="E126" s="15" t="inlineStr">
        <is>
          <t>Common</t>
        </is>
      </c>
      <c r="F126" s="27" t="n"/>
      <c r="G126" s="27" t="n"/>
      <c r="H126" s="15" t="n"/>
      <c r="I126" s="15" t="n"/>
    </row>
    <row r="127">
      <c r="A127" s="15" t="inlineStr">
        <is>
          <t>sdZx0lmq2mQ</t>
        </is>
      </c>
      <c r="B127" s="15" t="inlineStr">
        <is>
          <t>Mega Froslass ex</t>
        </is>
      </c>
      <c r="C127" s="15" t="inlineStr">
        <is>
          <t>Ascended Heroes</t>
        </is>
      </c>
      <c r="D127" s="15" t="n"/>
      <c r="E127" s="15" t="inlineStr">
        <is>
          <t>Mega Attack Rare</t>
        </is>
      </c>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inlineStr">
        <is>
          <t>208</t>
        </is>
      </c>
      <c r="E130" s="15" t="n"/>
      <c r="F130" s="27" t="n">
        <v>13.96</v>
      </c>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inlineStr">
        <is>
          <t>092</t>
        </is>
      </c>
      <c r="E139" s="15" t="inlineStr">
        <is>
          <t>Art Rare</t>
        </is>
      </c>
      <c r="F139" s="27" t="n">
        <v>1.76</v>
      </c>
      <c r="G139" s="27" t="n"/>
      <c r="H139" s="15" t="n"/>
      <c r="I139" s="15" t="n"/>
    </row>
    <row r="140">
      <c r="A140" s="15" t="inlineStr">
        <is>
          <t>NzWUDxXwnPI</t>
        </is>
      </c>
      <c r="B140" s="15" t="inlineStr">
        <is>
          <t>Aurorus</t>
        </is>
      </c>
      <c r="C140" s="15" t="inlineStr">
        <is>
          <t>Nihil Zero (JP)</t>
        </is>
      </c>
      <c r="D140" s="15" t="inlineStr">
        <is>
          <t>084</t>
        </is>
      </c>
      <c r="E140" s="15" t="inlineStr">
        <is>
          <t>Art Rare</t>
        </is>
      </c>
      <c r="F140" s="27" t="n">
        <v>2.46</v>
      </c>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inlineStr">
        <is>
          <t>TG18</t>
        </is>
      </c>
      <c r="E144" s="15" t="n"/>
      <c r="F144" s="27" t="n">
        <v>15.49</v>
      </c>
      <c r="G144" s="27" t="n"/>
      <c r="H144" s="15" t="n"/>
      <c r="I144" s="15" t="n"/>
    </row>
    <row r="145">
      <c r="A145" s="15" t="inlineStr">
        <is>
          <t>cg0H0ipfB90</t>
        </is>
      </c>
      <c r="B145" s="15" t="inlineStr">
        <is>
          <t>Reshiram V</t>
        </is>
      </c>
      <c r="C145" s="15" t="inlineStr">
        <is>
          <t>Silver Tempest</t>
        </is>
      </c>
      <c r="D145" s="15" t="inlineStr">
        <is>
          <t>024</t>
        </is>
      </c>
      <c r="E145" s="15" t="n"/>
      <c r="F145" s="27" t="n">
        <v>1.21</v>
      </c>
      <c r="G145" s="27" t="n"/>
      <c r="H145" s="15" t="n"/>
      <c r="I145" s="15" t="n"/>
    </row>
    <row r="146">
      <c r="A146" s="15" t="inlineStr">
        <is>
          <t>cg0H0ipfB90</t>
        </is>
      </c>
      <c r="B146" s="15" t="inlineStr">
        <is>
          <t>Galarian Perrserker V</t>
        </is>
      </c>
      <c r="C146" s="15" t="inlineStr">
        <is>
          <t>Lost Origin</t>
        </is>
      </c>
      <c r="D146" s="15" t="inlineStr">
        <is>
          <t>129</t>
        </is>
      </c>
      <c r="E146" s="15" t="n"/>
      <c r="F146" s="27" t="n">
        <v>0.75</v>
      </c>
      <c r="G146" s="27" t="n"/>
      <c r="H146" s="15" t="n"/>
      <c r="I146" s="15" t="n"/>
    </row>
    <row r="147">
      <c r="A147" s="15" t="inlineStr">
        <is>
          <t>U91JWMsUHAU</t>
        </is>
      </c>
      <c r="B147" s="15" t="inlineStr">
        <is>
          <t>Paras</t>
        </is>
      </c>
      <c r="C147" s="15" t="inlineStr">
        <is>
          <t>Crown Zenith</t>
        </is>
      </c>
      <c r="D147" s="15" t="inlineStr">
        <is>
          <t>GG32</t>
        </is>
      </c>
      <c r="E147" s="15" t="inlineStr">
        <is>
          <t>Rare</t>
        </is>
      </c>
      <c r="F147" s="27" t="n">
        <v>9.26</v>
      </c>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inlineStr">
        <is>
          <t>074</t>
        </is>
      </c>
      <c r="E153" s="15" t="inlineStr">
        <is>
          <t>Art Rare</t>
        </is>
      </c>
      <c r="F153" s="27" t="n">
        <v>2.26</v>
      </c>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n"/>
      <c r="D170" s="15" t="inlineStr">
        <is>
          <t>086</t>
        </is>
      </c>
      <c r="E170" s="15" t="inlineStr">
        <is>
          <t>Black Star Promo</t>
        </is>
      </c>
      <c r="F170" s="27" t="n">
        <v>0.45</v>
      </c>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inlineStr">
        <is>
          <t>033</t>
        </is>
      </c>
      <c r="E172" s="15" t="n"/>
      <c r="F172" s="27" t="n">
        <v>2.09</v>
      </c>
      <c r="G172" s="27" t="n"/>
      <c r="H172" s="15" t="n"/>
      <c r="I172" s="15" t="n"/>
    </row>
    <row r="173">
      <c r="A173" s="15" t="inlineStr">
        <is>
          <t>GLM2VLIWZGo</t>
        </is>
      </c>
      <c r="B173" s="15" t="inlineStr">
        <is>
          <t>Mega Charizard Y ex</t>
        </is>
      </c>
      <c r="C173" s="15" t="inlineStr"/>
      <c r="D173" s="15" t="inlineStr">
        <is>
          <t>030</t>
        </is>
      </c>
      <c r="E173" s="15" t="inlineStr">
        <is>
          <t>Black Star Promo</t>
        </is>
      </c>
      <c r="F173" s="27" t="n">
        <v>5.98</v>
      </c>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inlineStr">
        <is>
          <t>087</t>
        </is>
      </c>
      <c r="E183" s="15" t="inlineStr">
        <is>
          <t>Art Rare</t>
        </is>
      </c>
      <c r="F183" s="27" t="n">
        <v>3.91</v>
      </c>
      <c r="G183" s="27" t="n"/>
      <c r="H183" s="15" t="n"/>
      <c r="I183" s="15" t="n"/>
    </row>
    <row r="184">
      <c r="A184" s="15" t="inlineStr">
        <is>
          <t>gSygkzEehmU</t>
        </is>
      </c>
      <c r="B184" s="15" t="inlineStr">
        <is>
          <t>Mewtwo V</t>
        </is>
      </c>
      <c r="C184" s="15" t="inlineStr">
        <is>
          <t>Pokémon GO</t>
        </is>
      </c>
      <c r="D184" s="15" t="inlineStr">
        <is>
          <t>030</t>
        </is>
      </c>
      <c r="E184" s="15" t="inlineStr">
        <is>
          <t>Holo Rare V</t>
        </is>
      </c>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inlineStr">
        <is>
          <t>047</t>
        </is>
      </c>
      <c r="E194" s="15" t="inlineStr">
        <is>
          <t>Holo Rare V</t>
        </is>
      </c>
      <c r="F194" s="27" t="n"/>
      <c r="G194" s="27" t="n"/>
      <c r="H194" s="15" t="n"/>
      <c r="I194" s="15" t="n"/>
    </row>
    <row r="195">
      <c r="A195" s="15" t="inlineStr">
        <is>
          <t>tKOXv-qSYTo</t>
        </is>
      </c>
      <c r="B195" s="15" t="inlineStr">
        <is>
          <t>Dragonite V</t>
        </is>
      </c>
      <c r="C195" s="15" t="inlineStr">
        <is>
          <t>Pokémon GO</t>
        </is>
      </c>
      <c r="D195" s="15" t="inlineStr">
        <is>
          <t>049</t>
        </is>
      </c>
      <c r="E195" s="15" t="inlineStr">
        <is>
          <t>Holo Rare V</t>
        </is>
      </c>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inlineStr">
        <is>
          <t>022</t>
        </is>
      </c>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inlineStr">
        <is>
          <t>013</t>
        </is>
      </c>
      <c r="E200" s="15" t="inlineStr">
        <is>
          <t>Black Star Promo</t>
        </is>
      </c>
      <c r="F200" s="27" t="n">
        <v>0.89</v>
      </c>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Enriching Energy</t>
        </is>
      </c>
      <c r="C203" s="15" t="inlineStr">
        <is>
          <t>Surging Sparks</t>
        </is>
      </c>
      <c r="D203" s="15" t="n"/>
      <c r="E203" s="15" t="inlineStr">
        <is>
          <t>ACE SPEC Rare</t>
        </is>
      </c>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X ex</t>
        </is>
      </c>
      <c r="C205" s="15" t="n"/>
      <c r="D205" s="15" t="inlineStr">
        <is>
          <t>029</t>
        </is>
      </c>
      <c r="E205" s="15" t="inlineStr">
        <is>
          <t>Black Star Promo</t>
        </is>
      </c>
      <c r="F205" s="27" t="n">
        <v>5.68</v>
      </c>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is>
          <t>Black Bolt</t>
        </is>
      </c>
      <c r="D211" s="15" t="n"/>
      <c r="E211" s="15" t="inlineStr">
        <is>
          <t>Illustration Rare</t>
        </is>
      </c>
      <c r="F211" s="27" t="n"/>
      <c r="G211" s="27" t="n"/>
      <c r="H211" s="15" t="n"/>
      <c r="I211" s="15" t="n"/>
    </row>
    <row r="212">
      <c r="A212" s="15" t="inlineStr">
        <is>
          <t>b1B3Vbpsrh8</t>
        </is>
      </c>
      <c r="B212" s="15" t="inlineStr">
        <is>
          <t>Gladion’s Final Battle</t>
        </is>
      </c>
      <c r="C212" s="15" t="inlineStr">
        <is>
          <t>Pitch Black</t>
        </is>
      </c>
      <c r="D212" s="15" t="n"/>
      <c r="E212" s="15" t="inlineStr">
        <is>
          <t>Special Illustration Rare</t>
        </is>
      </c>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2026-08-23T13:57:42Z</dcterms:created>
  <dcterms:modified xsi:type="dcterms:W3CDTF">2026-08-23T20:54:04Z</dcterms:modified>
</cp:coreProperties>
</file>