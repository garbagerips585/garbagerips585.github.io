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t>
      </text>
    </comment>
    <comment ref="H1" authorId="0" shapeId="0">
      <text>
        <t>How many packs from the set in the Set column, not the whole rip.</t>
      </text>
    </comment>
    <comment ref="S1" authorId="0" shapeId="0">
      <text>
        <t>COMPUTED. Do not type here.
It adds up Packs, Packs 2, Packs 3, Packs 4 and Packs 5.
Put the count for each set in that set's own Packs column and this
adds itself up. Typing over it deletes the sum for that row.</t>
      </text>
    </comment>
    <comment ref="U1" authorId="0" shapeId="0">
      <text>
        <t>The headline card, written however you like.
If a rip produced SEVERAL cards worth naming, set Hit Rarity to
"More than one" and list them one per row on the My Hits tab.
One card per row there means the site can price them and link them.</t>
      </text>
    </comment>
    <comment ref="V1" authorId="0" shapeId="0">
      <text>
        <t>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Meganium Box : Where are the hits</t>
        </is>
      </c>
      <c r="G18" s="7" t="inlineStr">
        <is>
          <t>Archen</t>
        </is>
      </c>
      <c r="K18" s="7" t="inlineStr">
        <is>
          <t>17</t>
        </is>
      </c>
    </row>
    <row r="19">
      <c r="A19" s="7" t="inlineStr">
        <is>
          <t>Paradox Rift</t>
        </is>
      </c>
      <c r="B19" s="7" t="inlineStr">
        <is>
          <t>Other</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759</v>
      </c>
      <c r="E2" s="11" t="inlineStr">
        <is>
          <t>0:19</t>
        </is>
      </c>
      <c r="F2" s="13">
        <f>HYPERLINK("https://youtu.be/E5Wz7X1VMeY","watch")</f>
        <v/>
      </c>
      <c r="G2" s="14" t="inlineStr">
        <is>
          <t>Pitch Black</t>
        </is>
      </c>
      <c r="H2" s="15" t="n">
        <v>1</v>
      </c>
      <c r="I2" s="15" t="n"/>
      <c r="J2" s="15" t="n"/>
      <c r="K2" s="15" t="n"/>
      <c r="L2" s="15" t="n"/>
      <c r="M2" s="15" t="n"/>
      <c r="N2" s="15" t="n"/>
      <c r="O2" s="15" t="n"/>
      <c r="P2" s="15" t="n"/>
      <c r="Q2" s="15" t="n"/>
      <c r="R2" s="15" t="inlineStr">
        <is>
          <t>Single Booster Pack</t>
        </is>
      </c>
      <c r="S2" s="15">
        <f>SUM(H2,J2,L2,N2,P2)</f>
        <v/>
      </c>
      <c r="T2" s="15" t="inlineStr">
        <is>
          <t>Yes</t>
        </is>
      </c>
      <c r="U2" s="15" t="n"/>
      <c r="V2" s="15" t="inlineStr">
        <is>
          <t>Hyper Rare</t>
        </is>
      </c>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916</v>
      </c>
      <c r="E3" s="11" t="inlineStr">
        <is>
          <t>0:21</t>
        </is>
      </c>
      <c r="F3" s="13">
        <f>HYPERLINK("https://youtu.be/T2-UqY2ZSOw","watch")</f>
        <v/>
      </c>
      <c r="G3" s="14" t="inlineStr">
        <is>
          <t>Chaos Rising</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720</v>
      </c>
      <c r="E4" s="11" t="inlineStr">
        <is>
          <t>0:20</t>
        </is>
      </c>
      <c r="F4" s="13">
        <f>HYPERLINK("https://youtu.be/O5WscUY7qZI","watch")</f>
        <v/>
      </c>
      <c r="G4" s="14" t="inlineStr">
        <is>
          <t>Chaos Rising</t>
        </is>
      </c>
      <c r="H4" s="15" t="n">
        <v>1</v>
      </c>
      <c r="I4" s="15" t="n"/>
      <c r="J4" s="15" t="n"/>
      <c r="K4" s="15" t="n"/>
      <c r="L4" s="15" t="n"/>
      <c r="M4" s="15" t="n"/>
      <c r="N4" s="15" t="n"/>
      <c r="O4" s="15" t="n"/>
      <c r="P4" s="15" t="n"/>
      <c r="Q4" s="15" t="n"/>
      <c r="R4" s="15" t="inlineStr">
        <is>
          <t>Single Booster Pack</t>
        </is>
      </c>
      <c r="S4" s="15">
        <f>SUM(H4,J4,L4,N4,P4)</f>
        <v/>
      </c>
      <c r="T4" s="15" t="inlineStr">
        <is>
          <t>Yes</t>
        </is>
      </c>
      <c r="U4" s="15" t="n"/>
      <c r="V4" s="15" t="inlineStr">
        <is>
          <t>Hyper Rare</t>
        </is>
      </c>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659</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n"/>
      <c r="K6" s="15" t="n"/>
      <c r="L6" s="15" t="n"/>
      <c r="M6" s="15" t="n"/>
      <c r="N6" s="15" t="n"/>
      <c r="O6" s="15" t="n"/>
      <c r="P6" s="15" t="n"/>
      <c r="Q6" s="15" t="n"/>
      <c r="R6" s="15" t="inlineStr">
        <is>
          <t>Single Booster Pack</t>
        </is>
      </c>
      <c r="S6" s="15">
        <f>SUM(H6,J6,L6,N6,P6)</f>
        <v/>
      </c>
      <c r="T6" s="15" t="inlineStr">
        <is>
          <t>Yes</t>
        </is>
      </c>
      <c r="U6" s="15" t="n"/>
      <c r="V6" s="15" t="inlineStr">
        <is>
          <t>Hyper Rare</t>
        </is>
      </c>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inlineStr">
        <is>
          <t>Special Illustration Rare</t>
        </is>
      </c>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n"/>
      <c r="K10" s="15" t="n"/>
      <c r="L10" s="15" t="n"/>
      <c r="M10" s="15" t="n"/>
      <c r="N10" s="15" t="n"/>
      <c r="O10" s="15" t="n"/>
      <c r="P10" s="15" t="n"/>
      <c r="Q10" s="15" t="n"/>
      <c r="R10" s="15" t="inlineStr">
        <is>
          <t>Single Booster Pack</t>
        </is>
      </c>
      <c r="S10" s="15">
        <f>SUM(H10,J10,L10,N10,P10)</f>
        <v/>
      </c>
      <c r="T10" s="15" t="inlineStr">
        <is>
          <t>Yes</t>
        </is>
      </c>
      <c r="U10" s="15" t="n"/>
      <c r="V10" s="15" t="inlineStr">
        <is>
          <t>Special Illustration Rare</t>
        </is>
      </c>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inlineStr">
        <is>
          <t>Special Illustration Rare</t>
        </is>
      </c>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inlineStr">
        <is>
          <t>Hyper Rare</t>
        </is>
      </c>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inlineStr">
        <is>
          <t>Hyper Rare</t>
        </is>
      </c>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inlineStr">
        <is>
          <t>Double Rare</t>
        </is>
      </c>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887</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inlineStr">
        <is>
          <t>Illustration Rare</t>
        </is>
      </c>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765</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n"/>
      <c r="K18" s="15" t="n"/>
      <c r="L18" s="15" t="n"/>
      <c r="M18" s="15" t="n"/>
      <c r="N18" s="15" t="n"/>
      <c r="O18" s="15" t="n"/>
      <c r="P18" s="15" t="n"/>
      <c r="Q18" s="15" t="n"/>
      <c r="R18" s="15" t="inlineStr">
        <is>
          <t>Single Booster Pack</t>
        </is>
      </c>
      <c r="S18" s="15">
        <f>SUM(H18,J18,L18,N18,P18)</f>
        <v/>
      </c>
      <c r="T18" s="15" t="inlineStr">
        <is>
          <t>Yes</t>
        </is>
      </c>
      <c r="U18" s="15" t="n"/>
      <c r="V18" s="15" t="inlineStr">
        <is>
          <t>Special Illustration Rare</t>
        </is>
      </c>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inlineStr">
        <is>
          <t>Special Illustration Rare</t>
        </is>
      </c>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inlineStr">
        <is>
          <t>Double Rare</t>
        </is>
      </c>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inlineStr">
        <is>
          <t>Special Illustration Rare</t>
        </is>
      </c>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n"/>
      <c r="K24" s="15" t="n"/>
      <c r="L24" s="15" t="n"/>
      <c r="M24" s="15" t="n"/>
      <c r="N24" s="15" t="n"/>
      <c r="O24" s="15" t="n"/>
      <c r="P24" s="15" t="n"/>
      <c r="Q24" s="15" t="n"/>
      <c r="R24" s="15" t="inlineStr">
        <is>
          <t>Single Booster Pack</t>
        </is>
      </c>
      <c r="S24" s="15">
        <f>SUM(H24,J24,L24,N24,P24)</f>
        <v/>
      </c>
      <c r="T24" s="15" t="inlineStr">
        <is>
          <t>Yes</t>
        </is>
      </c>
      <c r="U24" s="15" t="n"/>
      <c r="V24" s="15" t="inlineStr">
        <is>
          <t>Special Illustration Rare</t>
        </is>
      </c>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inlineStr">
        <is>
          <t>Special Illustration Rare</t>
        </is>
      </c>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inlineStr">
        <is>
          <t>Special Illustration Rare</t>
        </is>
      </c>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inlineStr">
        <is>
          <t>Special Illustration Rare</t>
        </is>
      </c>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inlineStr">
        <is>
          <t>Special Illustration Rare</t>
        </is>
      </c>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inlineStr">
        <is>
          <t>Charizard</t>
        </is>
      </c>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624</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inlineStr">
        <is>
          <t>Illustration Rare</t>
        </is>
      </c>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inlineStr">
        <is>
          <t>Illustration Rare</t>
        </is>
      </c>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919</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inlineStr">
        <is>
          <t>Illustration Rare</t>
        </is>
      </c>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inlineStr">
        <is>
          <t>Charizard</t>
        </is>
      </c>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858</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inlineStr">
        <is>
          <t>Illustration Rare</t>
        </is>
      </c>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inlineStr">
        <is>
          <t>Charizard</t>
        </is>
      </c>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inlineStr">
        <is>
          <t>Special Illustration Rare</t>
        </is>
      </c>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inlineStr">
        <is>
          <t>Illustration Rare</t>
        </is>
      </c>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inlineStr">
        <is>
          <t>Illustration Rare</t>
        </is>
      </c>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inlineStr">
        <is>
          <t>Illustration Rare</t>
        </is>
      </c>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n"/>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n"/>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9</v>
      </c>
      <c r="I70" s="15" t="n"/>
      <c r="J70" s="15" t="n"/>
      <c r="K70" s="15" t="n"/>
      <c r="L70" s="15" t="n"/>
      <c r="M70" s="15" t="n"/>
      <c r="N70" s="15" t="n"/>
      <c r="O70" s="15" t="n"/>
      <c r="P70" s="15" t="n"/>
      <c r="Q70" s="15" t="n"/>
      <c r="R70" s="15"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9</v>
      </c>
      <c r="I71" s="15" t="n"/>
      <c r="J71" s="15" t="n"/>
      <c r="K71" s="15" t="n"/>
      <c r="L71" s="15" t="n"/>
      <c r="M71" s="15" t="n"/>
      <c r="N71" s="15" t="n"/>
      <c r="O71" s="15" t="n"/>
      <c r="P71" s="15" t="n"/>
      <c r="Q71" s="15" t="n"/>
      <c r="R71" s="15"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9</v>
      </c>
      <c r="I72" s="15" t="n"/>
      <c r="J72" s="15" t="n"/>
      <c r="K72" s="15" t="n"/>
      <c r="L72" s="15" t="n"/>
      <c r="M72" s="15" t="n"/>
      <c r="N72" s="15" t="n"/>
      <c r="O72" s="15" t="n"/>
      <c r="P72" s="15" t="n"/>
      <c r="Q72" s="15" t="n"/>
      <c r="R72" s="15"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9</v>
      </c>
      <c r="I73" s="15" t="n"/>
      <c r="J73" s="15" t="n"/>
      <c r="K73" s="15" t="n"/>
      <c r="L73" s="15" t="n"/>
      <c r="M73" s="15" t="n"/>
      <c r="N73" s="15" t="n"/>
      <c r="O73" s="15" t="n"/>
      <c r="P73" s="15" t="n"/>
      <c r="Q73" s="15" t="n"/>
      <c r="R73" s="15"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9</v>
      </c>
      <c r="I74" s="15" t="n"/>
      <c r="J74" s="15" t="n"/>
      <c r="K74" s="15" t="n"/>
      <c r="L74" s="15" t="n"/>
      <c r="M74" s="15" t="n"/>
      <c r="N74" s="15" t="n"/>
      <c r="O74" s="15" t="n"/>
      <c r="P74" s="15" t="n"/>
      <c r="Q74" s="15" t="n"/>
      <c r="R74" s="15" t="inlineStr">
        <is>
          <t>ETB (Elite Trainer Box)</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9</v>
      </c>
      <c r="I75" s="15" t="n"/>
      <c r="J75" s="15" t="n"/>
      <c r="K75" s="15" t="n"/>
      <c r="L75" s="15" t="n"/>
      <c r="M75" s="15" t="n"/>
      <c r="N75" s="15" t="n"/>
      <c r="O75" s="15" t="n"/>
      <c r="P75" s="15" t="n"/>
      <c r="Q75" s="15" t="n"/>
      <c r="R75" s="15"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n"/>
      <c r="K76" s="15" t="n"/>
      <c r="L76" s="15" t="n"/>
      <c r="M76" s="15" t="n"/>
      <c r="N76" s="15" t="n"/>
      <c r="O76" s="15" t="n"/>
      <c r="P76" s="15" t="n"/>
      <c r="Q76" s="15" t="n"/>
      <c r="R76" s="15"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9</v>
      </c>
      <c r="I77" s="15" t="n"/>
      <c r="J77" s="15" t="n"/>
      <c r="K77" s="15" t="n"/>
      <c r="L77" s="15" t="n"/>
      <c r="M77" s="15" t="n"/>
      <c r="N77" s="15" t="n"/>
      <c r="O77" s="15" t="n"/>
      <c r="P77" s="15" t="n"/>
      <c r="Q77" s="15" t="n"/>
      <c r="R77" s="15" t="inlineStr">
        <is>
          <t>ETB (Elite Trainer Box)</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inlineStr">
        <is>
          <t>Special Illustration Rare</t>
        </is>
      </c>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5" t="n"/>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inlineStr">
        <is>
          <t>Special Illustration Rare</t>
        </is>
      </c>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inlineStr">
        <is>
          <t>Special Illustration Rare</t>
        </is>
      </c>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5" t="n"/>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inlineStr">
        <is>
          <t>Special Illustration Rare</t>
        </is>
      </c>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5" t="n"/>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inlineStr">
        <is>
          <t>Special Illustration Rare</t>
        </is>
      </c>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inlineStr">
        <is>
          <t>Special Illustration Rare</t>
        </is>
      </c>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5" t="n"/>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inlineStr">
        <is>
          <t>Special Illustration Rare</t>
        </is>
      </c>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inlineStr">
        <is>
          <t>Special Illustration Rare</t>
        </is>
      </c>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5" t="n"/>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5" t="n"/>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inlineStr">
        <is>
          <t>Special Illustration Rare</t>
        </is>
      </c>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inlineStr">
        <is>
          <t>Special Illustration Rare</t>
        </is>
      </c>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927</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inlineStr">
        <is>
          <t>Special Illustration Rare</t>
        </is>
      </c>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inlineStr">
        <is>
          <t>Special Illustration Rare</t>
        </is>
      </c>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inlineStr">
        <is>
          <t>Hyper Rare</t>
        </is>
      </c>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inlineStr">
        <is>
          <t>Special Illustration Rare</t>
        </is>
      </c>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inlineStr">
        <is>
          <t>Special Illustration Rare</t>
        </is>
      </c>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inlineStr">
        <is>
          <t>Hyper Rare</t>
        </is>
      </c>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inlineStr">
        <is>
          <t>Special Illustration Rare</t>
        </is>
      </c>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inlineStr">
        <is>
          <t>Hyper Rare</t>
        </is>
      </c>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inlineStr">
        <is>
          <t>Hyper Rare</t>
        </is>
      </c>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inlineStr">
        <is>
          <t>Special Illustration Rare</t>
        </is>
      </c>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inlineStr">
        <is>
          <t>Special Illustration Rare</t>
        </is>
      </c>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inlineStr">
        <is>
          <t>Hyper Rare</t>
        </is>
      </c>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inlineStr">
        <is>
          <t>Special Illustration Rare</t>
        </is>
      </c>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inlineStr">
        <is>
          <t>Hyper Rare</t>
        </is>
      </c>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inlineStr">
        <is>
          <t>Hyper Rare</t>
        </is>
      </c>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inlineStr">
        <is>
          <t>Special Illustration Rare</t>
        </is>
      </c>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inlineStr">
        <is>
          <t>Special Illustration Rare</t>
        </is>
      </c>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inlineStr">
        <is>
          <t>Special Illustration Rare</t>
        </is>
      </c>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inlineStr">
        <is>
          <t>Charizard</t>
        </is>
      </c>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inlineStr">
        <is>
          <t>Special Illustration Rare</t>
        </is>
      </c>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Single Booster Pack</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5" t="n"/>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5" t="n"/>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5" t="n"/>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5" t="n"/>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inlineStr">
        <is>
          <t>Charizard</t>
        </is>
      </c>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5" t="n"/>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Single Booster Pack</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n"/>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5" t="n"/>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5" t="n"/>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inlineStr">
        <is>
          <t>Charizard</t>
        </is>
      </c>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1</v>
      </c>
      <c r="I298" s="15" t="n"/>
      <c r="J298" s="15" t="n"/>
      <c r="K298" s="15" t="n"/>
      <c r="L298" s="15" t="n"/>
      <c r="M298" s="15" t="n"/>
      <c r="N298" s="15" t="n"/>
      <c r="O298" s="15" t="n"/>
      <c r="P298" s="15" t="n"/>
      <c r="Q298" s="15" t="n"/>
      <c r="R298" s="15"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n"/>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n"/>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3</v>
      </c>
      <c r="I303" s="15" t="n"/>
      <c r="J303" s="15" t="n"/>
      <c r="K303" s="15" t="n"/>
      <c r="L303" s="15" t="n"/>
      <c r="M303" s="15" t="n"/>
      <c r="N303" s="15" t="n"/>
      <c r="O303" s="15" t="n"/>
      <c r="P303" s="15" t="n"/>
      <c r="Q303" s="15" t="n"/>
      <c r="R303" s="15" t="inlineStr">
        <is>
          <t>Blister</t>
        </is>
      </c>
      <c r="S303" s="15">
        <f>SUM(H303,J303,L303,N303,P303)</f>
        <v/>
      </c>
      <c r="T303" s="15" t="n"/>
      <c r="U303" s="15" t="n"/>
      <c r="V303" s="15" t="n"/>
      <c r="W303" s="15" t="n"/>
      <c r="X303" s="15" t="n"/>
      <c r="Y303" s="15" t="n"/>
      <c r="Z303" s="15" t="n"/>
      <c r="AA303" s="15" t="n"/>
      <c r="AB303" s="15" t="n"/>
      <c r="AC303" s="15" t="n"/>
      <c r="AD303" s="15" t="n"/>
      <c r="AE303" s="15" t="n"/>
    </row>
    <row r="304">
      <c r="A304" s="11" t="inlineStr">
        <is>
          <t>SOCAXif6Mzs</t>
        </is>
      </c>
      <c r="B304" s="11" t="inlineStr">
        <is>
          <t>Only Garbage Rips 😬 | Journey Together 3-Pack Blister</t>
        </is>
      </c>
      <c r="C304" s="11" t="inlineStr">
        <is>
          <t>2026-02-10</t>
        </is>
      </c>
      <c r="D304" s="12" t="n">
        <v>849</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inlineStr">
        <is>
          <t>Yes</t>
        </is>
      </c>
      <c r="U304" s="15" t="inlineStr">
        <is>
          <t>Journey Together - Trainer - Ruffian - Double Silver Star - Ultra Rare</t>
        </is>
      </c>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506</v>
      </c>
      <c r="E305" s="11" t="inlineStr">
        <is>
          <t>0:44</t>
        </is>
      </c>
      <c r="F305" s="13">
        <f>HYPERLINK("https://youtu.be/Prq7KI6j1Vk","watch")</f>
        <v/>
      </c>
      <c r="G305" s="14" t="inlineStr">
        <is>
          <t>Phantasmal Flames</t>
        </is>
      </c>
      <c r="H305" s="15" t="n">
        <v>2</v>
      </c>
      <c r="I305" s="15" t="n"/>
      <c r="J305" s="15" t="n"/>
      <c r="K305" s="15" t="n"/>
      <c r="L305" s="15" t="n"/>
      <c r="M305" s="15" t="n"/>
      <c r="N305" s="15" t="n"/>
      <c r="O305" s="15" t="n"/>
      <c r="P305" s="15" t="n"/>
      <c r="Q305" s="15" t="n"/>
      <c r="R305" s="15" t="inlineStr">
        <is>
          <t>Single Booster Pack</t>
        </is>
      </c>
      <c r="S305" s="15">
        <f>SUM(H305,J305,L305,N305,P305)</f>
        <v/>
      </c>
      <c r="T305" s="15" t="inlineStr">
        <is>
          <t>Yes</t>
        </is>
      </c>
      <c r="U305" s="15" t="inlineStr">
        <is>
          <t>Phantasmal Flames - Mismagius ex - Double Black Star - Double Rare</t>
        </is>
      </c>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401</v>
      </c>
      <c r="E306" s="11" t="inlineStr">
        <is>
          <t>0:54</t>
        </is>
      </c>
      <c r="F306" s="13">
        <f>HYPERLINK("https://youtu.be/-1fhlQB1okI","watch")</f>
        <v/>
      </c>
      <c r="G306" s="14" t="inlineStr">
        <is>
          <t>Cyber Judge (JP)</t>
        </is>
      </c>
      <c r="H306" s="15" t="n">
        <v>6</v>
      </c>
      <c r="I306" s="15" t="n"/>
      <c r="J306" s="15" t="n"/>
      <c r="K306" s="15" t="n"/>
      <c r="L306" s="15" t="n"/>
      <c r="M306" s="15" t="n"/>
      <c r="N306" s="15" t="n"/>
      <c r="O306" s="15" t="n"/>
      <c r="P306" s="15" t="n"/>
      <c r="Q306" s="15" t="n"/>
      <c r="R306" s="15" t="inlineStr">
        <is>
          <t>Japanese Booster Pack</t>
        </is>
      </c>
      <c r="S306" s="15">
        <f>SUM(H306,J306,L306,N306,P306)</f>
        <v/>
      </c>
      <c r="T306" s="15" t="inlineStr">
        <is>
          <t>Yes</t>
        </is>
      </c>
      <c r="U306" s="15" t="inlineStr">
        <is>
          <t>Cyber Judge - Incineroar ex - SR - Super Rare</t>
        </is>
      </c>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2451</v>
      </c>
      <c r="E307" s="11" t="inlineStr">
        <is>
          <t>0:26</t>
        </is>
      </c>
      <c r="F307" s="13">
        <f>HYPERLINK("https://youtu.be/evnMahizn0I","watch")</f>
        <v/>
      </c>
      <c r="G307" s="14" t="inlineStr">
        <is>
          <t>Paldea Evolved</t>
        </is>
      </c>
      <c r="H307" s="15" t="n">
        <v>1</v>
      </c>
      <c r="I307" s="15" t="n"/>
      <c r="J307" s="15" t="n"/>
      <c r="K307" s="15" t="n"/>
      <c r="L307" s="15" t="n"/>
      <c r="M307" s="15" t="n"/>
      <c r="N307" s="15" t="n"/>
      <c r="O307" s="15" t="n"/>
      <c r="P307" s="15" t="n"/>
      <c r="Q307" s="15" t="n"/>
      <c r="R307" s="15" t="inlineStr">
        <is>
          <t>Blister</t>
        </is>
      </c>
      <c r="S307" s="15">
        <f>SUM(H307,J307,L307,N307,P307)</f>
        <v/>
      </c>
      <c r="T307" s="15" t="inlineStr">
        <is>
          <t>No</t>
        </is>
      </c>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29</v>
      </c>
      <c r="E308" s="11" t="inlineStr">
        <is>
          <t>0:48</t>
        </is>
      </c>
      <c r="F308" s="13">
        <f>HYPERLINK("https://youtu.be/AXOYuKfoBXU","watch")</f>
        <v/>
      </c>
      <c r="G308" s="14" t="inlineStr">
        <is>
          <t>Phantasmal Flames</t>
        </is>
      </c>
      <c r="H308" s="15" t="n">
        <v>2</v>
      </c>
      <c r="I308" s="15" t="n"/>
      <c r="J308" s="15" t="n"/>
      <c r="K308" s="15" t="n"/>
      <c r="L308" s="15" t="n"/>
      <c r="M308" s="15" t="n"/>
      <c r="N308" s="15" t="n"/>
      <c r="O308" s="15" t="n"/>
      <c r="P308" s="15" t="n"/>
      <c r="Q308" s="15" t="n"/>
      <c r="R308" s="15" t="inlineStr">
        <is>
          <t>Blister</t>
        </is>
      </c>
      <c r="S308" s="15">
        <f>SUM(H308,J308,L308,N308,P308)</f>
        <v/>
      </c>
      <c r="T308" s="15" t="inlineStr">
        <is>
          <t>Yes</t>
        </is>
      </c>
      <c r="U308" s="15" t="inlineStr">
        <is>
          <t>Phantasmal Flames - Mega Lopunny ex - Double Black Star - Double Rare</t>
        </is>
      </c>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829</v>
      </c>
      <c r="E309" s="11" t="inlineStr">
        <is>
          <t>0:45</t>
        </is>
      </c>
      <c r="F309" s="13">
        <f>HYPERLINK("https://youtu.be/m9K7hpyjn04","watch")</f>
        <v/>
      </c>
      <c r="G309" s="15" t="n"/>
      <c r="H309" s="15" t="n">
        <v>2</v>
      </c>
      <c r="I309" s="15" t="n"/>
      <c r="J309" s="15" t="n"/>
      <c r="K309" s="15" t="n"/>
      <c r="L309" s="15" t="n"/>
      <c r="M309" s="15" t="n"/>
      <c r="N309" s="15" t="n"/>
      <c r="O309" s="15" t="n"/>
      <c r="P309" s="15" t="n"/>
      <c r="Q309" s="15" t="n"/>
      <c r="R309" s="15" t="inlineStr">
        <is>
          <t>Knock Out Collection</t>
        </is>
      </c>
      <c r="S309" s="15">
        <f>SUM(H309,J309,L309,N309,P309)</f>
        <v/>
      </c>
      <c r="T309" s="15" t="inlineStr">
        <is>
          <t>Yes</t>
        </is>
      </c>
      <c r="U309" s="15" t="inlineStr">
        <is>
          <t>Surging Sparks - Feebas - Single Gold Star - Illustration Rare</t>
        </is>
      </c>
      <c r="V309" s="15" t="n"/>
      <c r="W309" s="15" t="n"/>
      <c r="X309" s="15" t="n"/>
      <c r="Y309" s="15" t="n"/>
      <c r="Z309" s="15" t="n"/>
      <c r="AA309" s="15" t="n"/>
      <c r="AB309" s="15" t="n"/>
      <c r="AC309" s="15" t="n"/>
      <c r="AD309" s="15" t="n"/>
      <c r="AE309" s="15" t="n"/>
    </row>
    <row r="310">
      <c r="A310" s="11" t="inlineStr">
        <is>
          <t>41vJCIdzYkw</t>
        </is>
      </c>
      <c r="B310" s="11" t="inlineStr">
        <is>
          <t>Only Garbage Rips 😬 Suicune Knock Out Collection #pokemon #pokemoncards #pokemontcg #PokemonShorts</t>
        </is>
      </c>
      <c r="C310" s="11" t="inlineStr">
        <is>
          <t>2026-02-04</t>
        </is>
      </c>
      <c r="D310" s="12" t="n">
        <v>393</v>
      </c>
      <c r="E310" s="11" t="inlineStr">
        <is>
          <t>0:46</t>
        </is>
      </c>
      <c r="F310" s="13">
        <f>HYPERLINK("https://youtu.be/41vJCIdzYkw","watch")</f>
        <v/>
      </c>
      <c r="G310" s="15" t="n"/>
      <c r="H310" s="15" t="n">
        <v>2</v>
      </c>
      <c r="I310" s="15" t="n"/>
      <c r="J310" s="15" t="n"/>
      <c r="K310" s="15" t="n"/>
      <c r="L310" s="15" t="n"/>
      <c r="M310" s="15" t="n"/>
      <c r="N310" s="15" t="n"/>
      <c r="O310" s="15" t="n"/>
      <c r="P310" s="15" t="n"/>
      <c r="Q310" s="15" t="n"/>
      <c r="R310" s="15" t="inlineStr">
        <is>
          <t>Knock Out Collection</t>
        </is>
      </c>
      <c r="S310" s="15">
        <f>SUM(H310,J310,L310,N310,P310)</f>
        <v/>
      </c>
      <c r="T310" s="15" t="inlineStr">
        <is>
          <t>No</t>
        </is>
      </c>
      <c r="U310" s="15" t="n"/>
      <c r="V310" s="15" t="n"/>
      <c r="W310" s="15" t="n"/>
      <c r="X310" s="15" t="n"/>
      <c r="Y310" s="15" t="inlineStr">
        <is>
          <t>Hits</t>
        </is>
      </c>
      <c r="Z310" s="15" t="n"/>
      <c r="AA310" s="15" t="n"/>
      <c r="AB310" s="15" t="n"/>
      <c r="AC310" s="15" t="n"/>
      <c r="AD310" s="15" t="n"/>
      <c r="AE310" s="15" t="n"/>
    </row>
    <row r="311">
      <c r="A311" s="11" t="inlineStr">
        <is>
          <t>EOFAhFwJKqw</t>
        </is>
      </c>
      <c r="B311" s="11" t="inlineStr">
        <is>
          <t>Only Garbage Rips 😬 | Paradox Rift Blister Packs</t>
        </is>
      </c>
      <c r="C311" s="11" t="inlineStr">
        <is>
          <t>2026-02-03</t>
        </is>
      </c>
      <c r="D311" s="12" t="n">
        <v>236</v>
      </c>
      <c r="E311" s="11" t="inlineStr">
        <is>
          <t>1:15</t>
        </is>
      </c>
      <c r="F311" s="13">
        <f>HYPERLINK("https://youtu.be/EOFAhFwJKqw","watch")</f>
        <v/>
      </c>
      <c r="G311" s="14" t="inlineStr">
        <is>
          <t>Paradox Rift</t>
        </is>
      </c>
      <c r="H311" s="15" t="n">
        <v>2</v>
      </c>
      <c r="I311" s="15" t="n"/>
      <c r="J311" s="15" t="n"/>
      <c r="K311" s="15" t="n"/>
      <c r="L311" s="15" t="n"/>
      <c r="M311" s="15" t="n"/>
      <c r="N311" s="15" t="n"/>
      <c r="O311" s="15" t="n"/>
      <c r="P311" s="15" t="n"/>
      <c r="Q311" s="15" t="n"/>
      <c r="R311" s="15" t="inlineStr">
        <is>
          <t>Blister</t>
        </is>
      </c>
      <c r="S311" s="15">
        <f>SUM(H311,J311,L311,N311,P311)</f>
        <v/>
      </c>
      <c r="T311" s="15" t="inlineStr">
        <is>
          <t>Yes</t>
        </is>
      </c>
      <c r="U311" s="15" t="inlineStr">
        <is>
          <t>Paradox Rift - Tsareena ex - Double Black Star - Double Rare</t>
        </is>
      </c>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1179</v>
      </c>
      <c r="E312" s="11" t="inlineStr">
        <is>
          <t>1:07</t>
        </is>
      </c>
      <c r="F312" s="13">
        <f>HYPERLINK("https://youtu.be/l6RPdGNs7uE","watch")</f>
        <v/>
      </c>
      <c r="G312" s="15" t="n"/>
      <c r="H312" s="15" t="n">
        <v>4</v>
      </c>
      <c r="I312" s="15" t="n"/>
      <c r="J312" s="15" t="n"/>
      <c r="K312" s="15" t="n"/>
      <c r="L312" s="15" t="n"/>
      <c r="M312" s="15" t="n"/>
      <c r="N312" s="15" t="n"/>
      <c r="O312" s="15" t="n"/>
      <c r="P312" s="15" t="n"/>
      <c r="Q312" s="15" t="n"/>
      <c r="R312" s="15" t="inlineStr">
        <is>
          <t>ex Premium Collection</t>
        </is>
      </c>
      <c r="S312" s="15">
        <f>SUM(H312,J312,L312,N312,P312)</f>
        <v/>
      </c>
      <c r="T312" s="15" t="inlineStr">
        <is>
          <t>Yes</t>
        </is>
      </c>
      <c r="U312" s="15" t="inlineStr">
        <is>
          <t>Mega Kangakhan ex - Black Star Promo , Mega Evolution - Spearow - Single Gold Star - Illustration Rare,</t>
        </is>
      </c>
      <c r="V312" s="15" t="n"/>
      <c r="W312" s="15" t="n"/>
      <c r="X312" s="15" t="n"/>
      <c r="Y312" s="15" t="inlineStr">
        <is>
          <t>Hits</t>
        </is>
      </c>
      <c r="Z312" s="15" t="n"/>
      <c r="AA312" s="15" t="n"/>
      <c r="AB312" s="15" t="n"/>
      <c r="AC312" s="15" t="n"/>
      <c r="AD312" s="15" t="n"/>
      <c r="AE312" s="15" t="n"/>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4" t="inlineStr">
        <is>
          <t>Journey Together</t>
        </is>
      </c>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n"/>
      <c r="X313" s="15" t="n"/>
      <c r="Y313" s="15" t="inlineStr">
        <is>
          <t>Hits</t>
        </is>
      </c>
      <c r="Z313" s="15" t="n"/>
      <c r="AA313" s="15" t="n"/>
      <c r="AB313" s="15" t="n"/>
      <c r="AC313" s="15" t="n"/>
      <c r="AD313" s="15" t="n"/>
      <c r="AE313" s="15" t="inlineStr">
        <is>
          <t>All 18 packs are on the first set. Move some across the Packs columns if they came from different sets. All 18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n"/>
      <c r="X314" s="15" t="n"/>
      <c r="Y314" s="15" t="inlineStr">
        <is>
          <t>Hits</t>
        </is>
      </c>
      <c r="Z314" s="15" t="n"/>
      <c r="AA314" s="15" t="n"/>
      <c r="AB314" s="15" t="n"/>
      <c r="AC314" s="15" t="n"/>
      <c r="AD314" s="15" t="n"/>
      <c r="AE314" s="15" t="inlineStr">
        <is>
          <t>All 6 packs are on the first set. Move some across the Packs columns if they came from different sets. All 6 packs are on the first set. Move some across the Packs columns if they came from different sets.</t>
        </is>
      </c>
    </row>
  </sheetData>
  <dataValidations count="14">
    <dataValidation sqref="G2:G314" showDropDown="0" showInputMessage="0" showErrorMessage="1" allowBlank="1" type="list">
      <formula1>=Lists!$A$2:$A$39</formula1>
    </dataValidation>
    <dataValidation sqref="I2:I314" showDropDown="0" showInputMessage="0" showErrorMessage="1" allowBlank="1" type="list">
      <formula1>=Lists!$A$2:$A$39</formula1>
    </dataValidation>
    <dataValidation sqref="K2:K314" showDropDown="0" showInputMessage="0" showErrorMessage="1" allowBlank="1" type="list">
      <formula1>=Lists!$A$2:$A$39</formula1>
    </dataValidation>
    <dataValidation sqref="M2:M314" showDropDown="0" showInputMessage="0" showErrorMessage="1" allowBlank="1" type="list">
      <formula1>=Lists!$A$2:$A$39</formula1>
    </dataValidation>
    <dataValidation sqref="O2:O314" showDropDown="0" showInputMessage="0" showErrorMessage="1" allowBlank="1" type="list">
      <formula1>=Lists!$A$2:$A$39</formula1>
    </dataValidation>
    <dataValidation sqref="R2:R314" showDropDown="0" showInputMessage="0" showErrorMessage="1" allowBlank="1" type="list">
      <formula1>=Lists!$B$2:$B$19</formula1>
    </dataValidation>
    <dataValidation sqref="V2:V314" showDropDown="0" showInputMessage="0" showErrorMessage="1" allowBlank="1" type="list">
      <formula1>=Lists!$C$2:$C$13</formula1>
    </dataValidation>
    <dataValidation sqref="T2:T314" showDropDown="0" showInputMessage="0" showErrorMessage="1" allowBlank="1" type="list">
      <formula1>=Lists!$D$2:$D$3</formula1>
    </dataValidation>
    <dataValidation sqref="W2:W314" showDropDown="0" showInputMessage="0" showErrorMessage="1" allowBlank="1" type="list">
      <formula1>=Lists!$D$2:$D$3</formula1>
    </dataValidation>
    <dataValidation sqref="AC2:AC314" showDropDown="0" showInputMessage="0" showErrorMessage="1" allowBlank="1" type="list">
      <formula1>=Lists!$D$2:$D$3</formula1>
    </dataValidation>
    <dataValidation sqref="AD2:AD314" showDropDown="0" showInputMessage="0" showErrorMessage="1" allowBlank="1" type="list">
      <formula1>=Lists!$D$2:$D$3</formula1>
    </dataValidation>
    <dataValidation sqref="Y2:Y314" showDropDown="0" showInputMessage="0" showErrorMessage="1" allowBlank="1" type="list">
      <formula1>=Lists!$E$2:$E$7</formula1>
    </dataValidation>
    <dataValidation sqref="X2:X314" showDropDown="0" showInputMessage="0" showErrorMessage="1" allowBlank="1" type="list">
      <formula1>=Lists!$K$2:$K$21</formula1>
    </dataValidation>
    <dataValidation sqref="Q2:Q314" showDropDown="0" showInputMessage="0" showErrorMessage="0" allowBlank="1" type="list">
      <formula1>=Lists!$F$2:$F$28</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5</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14</v>
      </c>
      <c r="F10" s="15" t="n"/>
      <c r="G10" s="15" t="n"/>
      <c r="H10" s="15" t="n"/>
    </row>
    <row r="11">
      <c r="A11" s="11" t="inlineStr">
        <is>
          <t>journey-together</t>
        </is>
      </c>
      <c r="B11" s="11" t="inlineStr">
        <is>
          <t>Journey Together</t>
        </is>
      </c>
      <c r="C11" s="11" t="inlineStr">
        <is>
          <t>2025-03-28</t>
        </is>
      </c>
      <c r="D11" s="11" t="n">
        <v>190</v>
      </c>
      <c r="E11" s="11" t="n">
        <v>16</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7</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Opening type filled in</t>
        </is>
      </c>
      <c r="B8" s="18">
        <f>COUNTA('Video Log'!R2:R314)</f>
        <v/>
      </c>
    </row>
    <row r="9">
      <c r="A9" s="7" t="inlineStr">
        <is>
          <t>Marked as a hit</t>
        </is>
      </c>
      <c r="B9" s="18">
        <f>COUNTIF('Video Log'!T2:T314,"Yes")</f>
        <v/>
      </c>
    </row>
    <row r="10">
      <c r="A10" s="7" t="inlineStr">
        <is>
          <t>Hit card named</t>
        </is>
      </c>
      <c r="B10" s="18">
        <f>COUNTA('Video Log'!U2:U314)</f>
        <v/>
      </c>
    </row>
    <row r="11">
      <c r="A11" s="7" t="inlineStr">
        <is>
          <t>In Greatest Hits</t>
        </is>
      </c>
      <c r="B11" s="18">
        <f>COUNTIF('Video Log'!W2:W314,"Yes")</f>
        <v/>
      </c>
    </row>
    <row r="12">
      <c r="A12" s="7" t="inlineStr">
        <is>
          <t>Given a rank</t>
        </is>
      </c>
      <c r="B12" s="18">
        <f>COUNTA('Video Log'!X2:X314)</f>
        <v/>
      </c>
    </row>
    <row r="13">
      <c r="A13" s="7" t="inlineStr">
        <is>
          <t>Affiliate links added</t>
        </is>
      </c>
      <c r="B13" s="18">
        <f>COUNTA('Video Log'!Z2:Z314)</f>
        <v/>
      </c>
    </row>
    <row r="14">
      <c r="A14" s="7" t="inlineStr">
        <is>
          <t>Hidden from the site</t>
        </is>
      </c>
      <c r="B14" s="18">
        <f>COUNTIF('Video Log'!AD2:AD314,"Yes")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Ultra Rare</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Secret Rare</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Ultra Rare</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=Lists!$A$2:$A$39</formula1>
    </dataValidation>
    <dataValidation sqref="E2:E400" showDropDown="0" showInputMessage="0" showErrorMessage="0" allowBlank="1" type="list">
      <formula1>=Lists!$C$2:$C$13</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2026-08-15T22:00:55Z</dcterms:created>
  <dcterms:modified xsi:type="dcterms:W3CDTF">2026-08-15T22:00:55Z</dcterms:modified>
</cp:coreProperties>
</file>