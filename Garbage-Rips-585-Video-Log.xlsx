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30"/>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row r="328">
      <c r="A328" t="inlineStr">
        <is>
          <t>0mtM71JvFkc</t>
        </is>
      </c>
      <c r="B328" t="inlineStr">
        <is>
          <t>Mega Dragalge ex is STUNNING! 🐲✨</t>
        </is>
      </c>
      <c r="C328" t="inlineStr">
        <is>
          <t>2026-08-29</t>
        </is>
      </c>
      <c r="D328" t="n">
        <v>94</v>
      </c>
      <c r="E328" t="inlineStr">
        <is>
          <t>0:22</t>
        </is>
      </c>
      <c r="F328">
        <f>HYPERLINK("https://youtu.be/0mtM71JvFkc","watch")</f>
        <v/>
      </c>
      <c r="H328" t="inlineStr">
        <is>
          <t>ETB</t>
        </is>
      </c>
      <c r="I328" t="n">
        <v>6</v>
      </c>
      <c r="J328" t="inlineStr">
        <is>
          <t>Yes</t>
        </is>
      </c>
      <c r="K328" t="inlineStr">
        <is>
          <t>Mega Dragalge ex - Double Black Star - Double Rare</t>
        </is>
      </c>
      <c r="L328" t="inlineStr">
        <is>
          <t>Chaos Rising</t>
        </is>
      </c>
    </row>
    <row r="329">
      <c r="A329" t="inlineStr">
        <is>
          <t>zrI6oaxBct8</t>
        </is>
      </c>
      <c r="B329" t="inlineStr">
        <is>
          <t>Ascended Heroes is TOUGH 💀🤘</t>
        </is>
      </c>
      <c r="C329" t="inlineStr">
        <is>
          <t>2026-08-30</t>
        </is>
      </c>
      <c r="D329" t="n">
        <v>106</v>
      </c>
      <c r="E329" t="inlineStr">
        <is>
          <t>0:21</t>
        </is>
      </c>
      <c r="F329">
        <f>HYPERLINK("https://youtu.be/zrI6oaxBct8","watch")</f>
        <v/>
      </c>
      <c r="H329" t="inlineStr">
        <is>
          <t>Single Booster Pack</t>
        </is>
      </c>
      <c r="I329" t="n">
        <v>9</v>
      </c>
      <c r="J329" t="inlineStr">
        <is>
          <t>No</t>
        </is>
      </c>
      <c r="L329" t="inlineStr">
        <is>
          <t>Ascended Heroes</t>
        </is>
      </c>
    </row>
    <row r="330">
      <c r="A330" t="inlineStr">
        <is>
          <t>nTnwXiQzsW0</t>
        </is>
      </c>
      <c r="B330" t="inlineStr">
        <is>
          <t>Pitch Black vs. Garbage Rips 🗑️🤘</t>
        </is>
      </c>
      <c r="C330" t="inlineStr">
        <is>
          <t>2026-08-31</t>
        </is>
      </c>
      <c r="D330" t="n">
        <v>105</v>
      </c>
      <c r="E330" t="inlineStr">
        <is>
          <t>0:18</t>
        </is>
      </c>
      <c r="F330">
        <f>HYPERLINK("https://youtu.be/nTnwXiQzsW0","watch")</f>
        <v/>
      </c>
      <c r="H330" t="inlineStr">
        <is>
          <t>Single Booster Pack</t>
        </is>
      </c>
      <c r="I330" t="n">
        <v>12</v>
      </c>
      <c r="J330" t="inlineStr">
        <is>
          <t>No</t>
        </is>
      </c>
      <c r="L330" t="inlineStr">
        <is>
          <t>Pitch Black</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Log'!A2:A330)</f>
        <v/>
      </c>
    </row>
    <row r="4">
      <c r="A4" s="7" t="inlineStr">
        <is>
          <t>Product filled in</t>
        </is>
      </c>
      <c r="B4" s="18">
        <f>COUNTA('Video Log'!H2:H330)</f>
        <v/>
      </c>
    </row>
    <row r="5">
      <c r="A5" s="7" t="inlineStr">
        <is>
          <t>Still missing a product</t>
        </is>
      </c>
      <c r="B5" s="18">
        <f>COUNTA('Video Log'!A2:A330)-COUNTA('Video Log'!H2:H330)</f>
        <v/>
      </c>
    </row>
    <row r="6">
      <c r="A6" s="7" t="inlineStr">
        <is>
          <t>Sets &amp; Packs filled in</t>
        </is>
      </c>
      <c r="B6" s="18">
        <f>COUNTA('Video Log'!L2:L330)</f>
        <v/>
      </c>
    </row>
    <row r="7">
      <c r="A7" s="7" t="inlineStr">
        <is>
          <t>Still missing Sets &amp; Packs</t>
        </is>
      </c>
      <c r="B7" s="18">
        <f>COUNTA('Video Log'!A2:A330)-COUNTA('Video Log'!L2:L330)</f>
        <v/>
      </c>
    </row>
    <row r="8">
      <c r="A8" s="7" t="inlineStr">
        <is>
          <t>Pack number filled in</t>
        </is>
      </c>
      <c r="B8" s="18">
        <f>COUNTA('Video Log'!I2:I330)</f>
        <v/>
      </c>
    </row>
    <row r="9">
      <c r="A9" s="7" t="inlineStr">
        <is>
          <t>Marked as a hit</t>
        </is>
      </c>
      <c r="B9" s="18">
        <f>COUNTIF('Video Log'!J2:J330,"Yes")</f>
        <v/>
      </c>
    </row>
    <row r="10">
      <c r="A10" s="7" t="inlineStr">
        <is>
          <t>Hit info written</t>
        </is>
      </c>
      <c r="B10" s="18">
        <f>COUNTA('Video Log'!K2:K330)</f>
        <v/>
      </c>
    </row>
    <row r="11">
      <c r="A11" s="7" t="inlineStr">
        <is>
          <t>In Greatest Hits</t>
        </is>
      </c>
      <c r="B11" s="18">
        <f>COUNTIF('Video Log'!M2:M330,"Yes")</f>
        <v/>
      </c>
    </row>
    <row r="12">
      <c r="A12" s="7" t="inlineStr">
        <is>
          <t>Given a rank</t>
        </is>
      </c>
      <c r="B12" s="18">
        <f>COUNTA('Video Log'!N2:N330)</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2026-08-31T12:22:06Z</dcterms:modified>
</cp:coreProperties>
</file>