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D">Lists!$D$2:$D$3</definedName>
    <definedName name="gr_list_A">Lists!$A$2:$A$190</definedName>
    <definedName name="gr_list_J">Lists!$J$2:$J$11</definedName>
    <definedName name="gr_list_C">Lists!$C$2:$C$13</definedName>
    <definedName name="gr_list_E">Lists!$E$2:$E$7</definedName>
    <definedName name="gr_list_K">Lists!$K$2:$K$21</definedName>
    <definedName name="gr_list_I">Lists!$I$2:$I$12</definedName>
    <definedName name="gr_list_B">Lists!$B$2:$B$19</definedName>
    <definedName name="gr_list_M">Lists!$M$2:$M$37</definedName>
    <definedName name="gr_list_AA">Lists!$A$2:$A$190</definedName>
    <definedName name="gr_list_F">Lists!$F$2:$F$31</definedName>
    <definedName name="gr_list_H">Lists!$H$2:$H$8</definedName>
    <definedName name="gr_list_L">Lists!$L$2:$L$31</definedName>
    <definedName name="gr_list_G">Lists!$G$2:$G$501</definedName>
    <definedName hidden="1" localSheetId="2" name="_xlnm._FilterDatabase">'Video Log'!$A$1:$U$319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<sst xmlns="http://schemas.openxmlformats.org/spreadsheetml/2006/main" count="5138" uniqueCount="2739">
  <si>
    <t>Sets</t>
  </si>
  <si>
    <t>Garbage Rips 585 master sheet</t>
  </si>
  <si>
    <t>Set ID</t>
  </si>
  <si>
    <t>Opening Types</t>
  </si>
  <si>
    <t>Hit Rarities</t>
  </si>
  <si>
    <t>Yes/No</t>
  </si>
  <si>
    <t>Playlists</t>
  </si>
  <si>
    <t>Box / Series</t>
  </si>
  <si>
    <t>Hit Cards</t>
  </si>
  <si>
    <t>PSA 10 Sources</t>
  </si>
  <si>
    <t>Shop Areas</t>
  </si>
  <si>
    <t>Set Name</t>
  </si>
  <si>
    <t>Shop Good For</t>
  </si>
  <si>
    <t>Released</t>
  </si>
  <si>
    <t>HoF Ranks</t>
  </si>
  <si>
    <t>Cards</t>
  </si>
  <si>
    <t>Box Numbers</t>
  </si>
  <si>
    <t>Your rips</t>
  </si>
  <si>
    <t>Pack Numbers</t>
  </si>
  <si>
    <t>Still In Print</t>
  </si>
  <si>
    <t>Pitch Black</t>
  </si>
  <si>
    <t>What this is</t>
  </si>
  <si>
    <t>Fun Fact 1</t>
  </si>
  <si>
    <t>The control surface for garbagerips.com. Everything the site knows that cannot be worked out from YouTube or the card database lives here. Fill in what you know, export, import, and the site changes.</t>
  </si>
  <si>
    <t>Fun Fact 2</t>
  </si>
  <si>
    <t>Single Booster Pack</t>
  </si>
  <si>
    <t>Video ID</t>
  </si>
  <si>
    <t>Mega Hyper Rare</t>
  </si>
  <si>
    <t>Yes</t>
  </si>
  <si>
    <t>Grey columns</t>
  </si>
  <si>
    <t>Greatest Hits</t>
  </si>
  <si>
    <t>Ascended Heroes 2-Pack Blister</t>
  </si>
  <si>
    <t>pitch-black</t>
  </si>
  <si>
    <t>From YouTube or the card database. Do not edit. Video ID and Key are what link a row to its video or card, so never edit those and never sort in a way that separates a row from them.</t>
  </si>
  <si>
    <t>AZ's Tranquility</t>
  </si>
  <si>
    <t>PSA Price Guide</t>
  </si>
  <si>
    <t>Rochester, NY</t>
  </si>
  <si>
    <t>Yellow columns</t>
  </si>
  <si>
    <t>Sealed product</t>
  </si>
  <si>
    <t>1</t>
  </si>
  <si>
    <t>Yours. Blank is fine everywhere: the import skips anything unanswered, so twenty rows at a time is a perfectly good way to work.</t>
  </si>
  <si>
    <t>Gold columns</t>
  </si>
  <si>
    <t>Chaos Rising</t>
  </si>
  <si>
    <t>Booster Bundle</t>
  </si>
  <si>
    <t>Hall of Fame and Most Wanted, the two things that change the top of the home page.</t>
  </si>
  <si>
    <t>Hyper Rare</t>
  </si>
  <si>
    <t>Title</t>
  </si>
  <si>
    <t>Blue text</t>
  </si>
  <si>
    <t>No</t>
  </si>
  <si>
    <t>2026-07-17</t>
  </si>
  <si>
    <t>Published</t>
  </si>
  <si>
    <t>Hits Only</t>
  </si>
  <si>
    <t>A guess the site already made. Correct it if it is wrong, leave it if it is right. Black text means a person typed it.</t>
  </si>
  <si>
    <t>Ascended Heroes Booster Bundle</t>
  </si>
  <si>
    <t>Views</t>
  </si>
  <si>
    <t>Abra</t>
  </si>
  <si>
    <t>eBay sold listings</t>
  </si>
  <si>
    <t>Greece, NY</t>
  </si>
  <si>
    <t>Length</t>
  </si>
  <si>
    <t>Singles</t>
  </si>
  <si>
    <t>Dropdowns</t>
  </si>
  <si>
    <t>2</t>
  </si>
  <si>
    <t>A shortcut, never a gate. Every one accepts anything you type, so a value missing from the list is never a reason you cannot record it.</t>
  </si>
  <si>
    <t>Watch</t>
  </si>
  <si>
    <t>Perfect Order</t>
  </si>
  <si>
    <t>If the list looks short</t>
  </si>
  <si>
    <t>Booster Box</t>
  </si>
  <si>
    <t>From Your Title</t>
  </si>
  <si>
    <t>Special Illustration Rare</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</si>
  <si>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</si>
  <si>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Full Box Openings</t>
  </si>
  <si>
    <t>Ascended Heroes ETB</t>
  </si>
  <si>
    <t>Hit Card is free text</t>
  </si>
  <si>
    <t>Accelgor</t>
  </si>
  <si>
    <t>130point</t>
  </si>
  <si>
    <t>It has no dropdown here. If Sheets offers to make one out of what you have typed, decline it. If one appears anyway, select the column and use Data then Data validation then Remove rule.</t>
  </si>
  <si>
    <t>Henrietta, NY</t>
  </si>
  <si>
    <t>New releases</t>
  </si>
  <si>
    <t>3</t>
  </si>
  <si>
    <t>THE TABS</t>
  </si>
  <si>
    <t>Video Log</t>
  </si>
  <si>
    <t>Ascended Heroes</t>
  </si>
  <si>
    <t>Every video. Sets, opening type, the hit, the Hall of Fame, and per-video copy for the site.</t>
  </si>
  <si>
    <t>ETB (Elite Trainer Box)</t>
  </si>
  <si>
    <t>Illustration Rare</t>
  </si>
  <si>
    <t>Set Notes</t>
  </si>
  <si>
    <t>Ascended Heroes ETB FINAL PACK</t>
  </si>
  <si>
    <t>The two facts the card database does not carry: whether a set is still in print, and what a pack costs. Set guides omit both until filled in.</t>
  </si>
  <si>
    <t>Acerola's Mischief</t>
  </si>
  <si>
    <t>TCGplayer</t>
  </si>
  <si>
    <t>Chase Cards</t>
  </si>
  <si>
    <t>Irondequoit, NY</t>
  </si>
  <si>
    <t>In store</t>
  </si>
  <si>
    <t>Every chase card on the site. PSA 10 prices live ONLY here: nothing can fetch a graded price, so this tab is the only route onto the site. Most Wanted marks a card for the hunt page and the home page band.</t>
  </si>
  <si>
    <t>Product</t>
  </si>
  <si>
    <t>4</t>
  </si>
  <si>
    <t>Shops</t>
  </si>
  <si>
    <t>Local card shops for /shops.html.</t>
  </si>
  <si>
    <t>Phantasmal Flames</t>
  </si>
  <si>
    <t>SPC (Super Premium Collection)</t>
  </si>
  <si>
    <t>Summary</t>
  </si>
  <si>
    <t>Ultra Rare</t>
  </si>
  <si>
    <t>Live counts of how much is filled in.</t>
  </si>
  <si>
    <t>Japanese</t>
  </si>
  <si>
    <t>Ascended Heroes Elite Trainer Box</t>
  </si>
  <si>
    <t>Lists</t>
  </si>
  <si>
    <t>Aipom</t>
  </si>
  <si>
    <t>The source of every dropdown. Add a row here to add an option.</t>
  </si>
  <si>
    <t>PriceCharting</t>
  </si>
  <si>
    <t>Brighton, NY</t>
  </si>
  <si>
    <t>Graded slabs</t>
  </si>
  <si>
    <t>HOW TO IMPORT</t>
  </si>
  <si>
    <t>5</t>
  </si>
  <si>
    <t>Pack #</t>
  </si>
  <si>
    <t>Google Sheets exports the ACTIVE tab only, so open the tab you want first, then File &gt; Download &gt; Comma-separated values.</t>
  </si>
  <si>
    <t>Mega Evolution</t>
  </si>
  <si>
    <t>UPC (Ultra Premium Collection)</t>
  </si>
  <si>
    <t>Hit</t>
  </si>
  <si>
    <t>Double Rare</t>
  </si>
  <si>
    <t>None</t>
  </si>
  <si>
    <t>chaos-rising</t>
  </si>
  <si>
    <t>Ascended Heroes Mini Tin</t>
  </si>
  <si>
    <t>Alakazam ex</t>
  </si>
  <si>
    <t>2026-05-22</t>
  </si>
  <si>
    <t>node scripts/import-sheet.mjs &lt;csv&gt;</t>
  </si>
  <si>
    <t>Local shop</t>
  </si>
  <si>
    <t>Webster, NY</t>
  </si>
  <si>
    <t>Vintage</t>
  </si>
  <si>
    <t>6</t>
  </si>
  <si>
    <t>node scripts/import-cards.mjs &lt;csv&gt;</t>
  </si>
  <si>
    <t>White Flare</t>
  </si>
  <si>
    <t>Poke Ball Tin</t>
  </si>
  <si>
    <t>perfect-order</t>
  </si>
  <si>
    <t>Rare</t>
  </si>
  <si>
    <t>Either importer works out which tab it is from the header row, so the filename does not matter.</t>
  </si>
  <si>
    <t>Ascended Heroes Sticker Collection</t>
  </si>
  <si>
    <t>2026-03-27</t>
  </si>
  <si>
    <t>Alolan Exeggutor ex</t>
  </si>
  <si>
    <t>Hit Info</t>
  </si>
  <si>
    <t>Other</t>
  </si>
  <si>
    <t>The one that matters most</t>
  </si>
  <si>
    <t>Pittsford, NY</t>
  </si>
  <si>
    <t>Set. 61 videos have no set tag. A video with no set cannot be filtered and cannot reach the Hall of Fame. Eight of those are graded hits locked out of the home page right now.</t>
  </si>
  <si>
    <t>7</t>
  </si>
  <si>
    <t>Packs from several sets</t>
  </si>
  <si>
    <t>ascended-heroes</t>
  </si>
  <si>
    <t>Black Bolt</t>
  </si>
  <si>
    <t>Tin</t>
  </si>
  <si>
    <t>Sets &amp; Packs</t>
  </si>
  <si>
    <t>ACE SPEC Rare</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</si>
  <si>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</si>
  <si>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2026-01-30</t>
  </si>
  <si>
    <t>Ascended Heroes Tech Sticker Collection</t>
  </si>
  <si>
    <t>Alomomola</t>
  </si>
  <si>
    <t>How many packs</t>
  </si>
  <si>
    <t>Victor, NY</t>
  </si>
  <si>
    <t>Events and tournaments</t>
  </si>
  <si>
    <t>8</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</si>
  <si>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</si>
  <si>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phantasmal-flames</t>
  </si>
  <si>
    <t>Which one, and which pack</t>
  </si>
  <si>
    <t>Destined Rivals</t>
  </si>
  <si>
    <t>ex Premium Collection</t>
  </si>
  <si>
    <t>2025-11-14</t>
  </si>
  <si>
    <t>Super Rare</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</si>
  <si>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</si>
  <si>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Chaos Rising Booster Bundle</t>
  </si>
  <si>
    <t>Altaria ex</t>
  </si>
  <si>
    <t>Buffalo, NY</t>
  </si>
  <si>
    <t>Trade ins</t>
  </si>
  <si>
    <t>Mark Yes on the RIPS you want in the gold section at the top of the home page. Rank orders them, 1 first. Leave Rank blank and the site orders by rarity then views. These are videos.</t>
  </si>
  <si>
    <t>9</t>
  </si>
  <si>
    <t>mega-evolution</t>
  </si>
  <si>
    <t>Card Hall of Fame</t>
  </si>
  <si>
    <t>2025-09-26</t>
  </si>
  <si>
    <t>On the Chase Cards tab. Mark Yes on the CARDS you have actually pulled. They get their own page, ranked by value, with the card image, the set, the raw near mint price and the PSA 10 price. These are cards, not videos, which is the whole difference between the two.</t>
  </si>
  <si>
    <t>Greatest Hits Rank</t>
  </si>
  <si>
    <t>Journey Together</t>
  </si>
  <si>
    <t>ex Special Collection</t>
  </si>
  <si>
    <t>PSA 10 prices</t>
  </si>
  <si>
    <t>Playlist To Add</t>
  </si>
  <si>
    <t>Charizard</t>
  </si>
  <si>
    <t>Put in a number you have actually seen, set PSA 10 Checked to the date you checked it (2026-08-11 format), and name the source. A graded price with no date is not a fact about anything, and a blank shows nothing rather than a guess.</t>
  </si>
  <si>
    <t>Affiliate Link</t>
  </si>
  <si>
    <t>white-flare</t>
  </si>
  <si>
    <t>Chaos Rising ETB</t>
  </si>
  <si>
    <t>Site Title</t>
  </si>
  <si>
    <t>Careful</t>
  </si>
  <si>
    <t>2025-07-18</t>
  </si>
  <si>
    <t>Amarys</t>
  </si>
  <si>
    <t>Short Description</t>
  </si>
  <si>
    <t>Syracuse, NY</t>
  </si>
  <si>
    <t>Supplies</t>
  </si>
  <si>
    <t>Rebuilding this file overwrites it. Import your latest export FIRST, then rebuild. Anything already imported is carried back in; anything not is lost.</t>
  </si>
  <si>
    <t>black-bolt</t>
  </si>
  <si>
    <t>Feature</t>
  </si>
  <si>
    <t>10</t>
  </si>
  <si>
    <t>Hide</t>
  </si>
  <si>
    <t>Notes</t>
  </si>
  <si>
    <t>Prismatic Evolutions</t>
  </si>
  <si>
    <t>ex Box</t>
  </si>
  <si>
    <t>More than one</t>
  </si>
  <si>
    <t>Chaos Rising ETB : The First Pack Reality</t>
  </si>
  <si>
    <t>destined-rivals</t>
  </si>
  <si>
    <t>Amoonguss</t>
  </si>
  <si>
    <t>Online only</t>
  </si>
  <si>
    <t>2025-05-30</t>
  </si>
  <si>
    <t>11</t>
  </si>
  <si>
    <t>h5mje3jbD48</t>
  </si>
  <si>
    <t>Surging Sparks</t>
  </si>
  <si>
    <t>Collection Box</t>
  </si>
  <si>
    <t>The 9th Pack SAVED the Box! 🐋😱</t>
  </si>
  <si>
    <t>No hit</t>
  </si>
  <si>
    <t>journey-together</t>
  </si>
  <si>
    <t>2026-08-20</t>
  </si>
  <si>
    <t>Applin</t>
  </si>
  <si>
    <t>2025-03-28</t>
  </si>
  <si>
    <t>12</t>
  </si>
  <si>
    <t>Stellar Crown</t>
  </si>
  <si>
    <t>Knock Out Collection</t>
  </si>
  <si>
    <t>Journey Together Booster Bundle</t>
  </si>
  <si>
    <t>prismatic-evolutions</t>
  </si>
  <si>
    <t>Arbok</t>
  </si>
  <si>
    <t>13</t>
  </si>
  <si>
    <t>2025-01-17</t>
  </si>
  <si>
    <t>Shrouded Fable</t>
  </si>
  <si>
    <t>Blister</t>
  </si>
  <si>
    <t>Mega Charizard Y EX Tin</t>
  </si>
  <si>
    <t>0:24</t>
  </si>
  <si>
    <t>Arcanine ex</t>
  </si>
  <si>
    <t>surging-sparks</t>
  </si>
  <si>
    <t>14</t>
  </si>
  <si>
    <t>2024-11-08</t>
  </si>
  <si>
    <t>Twilight Masquerade</t>
  </si>
  <si>
    <t>Japanese Booster Pack</t>
  </si>
  <si>
    <t>Mega Emboar ex Box</t>
  </si>
  <si>
    <t>Archaludon ex</t>
  </si>
  <si>
    <t>15</t>
  </si>
  <si>
    <t>stellar-crown</t>
  </si>
  <si>
    <t>2024-09-13</t>
  </si>
  <si>
    <t>Temporal Forces</t>
  </si>
  <si>
    <t>Korean Booster Pack</t>
  </si>
  <si>
    <t>Mega Feraligatr ex Box</t>
  </si>
  <si>
    <t>Archeops</t>
  </si>
  <si>
    <t>16</t>
  </si>
  <si>
    <t>shrouded-fable</t>
  </si>
  <si>
    <t>Paldean Fates</t>
  </si>
  <si>
    <t>2024-08-02</t>
  </si>
  <si>
    <t>Chinese Booster Pack</t>
  </si>
  <si>
    <t>Mega Heroes Mini Tin</t>
  </si>
  <si>
    <t>Arctibax</t>
  </si>
  <si>
    <t>17</t>
  </si>
  <si>
    <t>Paradox Rift</t>
  </si>
  <si>
    <t>twilight-masquerade</t>
  </si>
  <si>
    <t>Mega Meganium Box : Where are the hits</t>
  </si>
  <si>
    <t>2024-05-24</t>
  </si>
  <si>
    <t>Armarouge</t>
  </si>
  <si>
    <t>18</t>
  </si>
  <si>
    <t>151</t>
  </si>
  <si>
    <t>Mega Meganium ex Box</t>
  </si>
  <si>
    <t>Articuno</t>
  </si>
  <si>
    <t>temporal-forces</t>
  </si>
  <si>
    <t>19</t>
  </si>
  <si>
    <t>2024-03-22</t>
  </si>
  <si>
    <t>Obsidian Flames</t>
  </si>
  <si>
    <t>Mega Venusaur ex Premium Collection Opening</t>
  </si>
  <si>
    <t>Arven's Mabosstiff ex</t>
  </si>
  <si>
    <t>20</t>
  </si>
  <si>
    <t>paldean-fates</t>
  </si>
  <si>
    <t>2024-01-26</t>
  </si>
  <si>
    <t>Paldea Evolved</t>
  </si>
  <si>
    <t>Mega Zygarde ex Premium Collection</t>
  </si>
  <si>
    <t>Audino</t>
  </si>
  <si>
    <t>21</t>
  </si>
  <si>
    <t>Scarlet &amp; Violet</t>
  </si>
  <si>
    <t>Perfect Order 3-Pack Blister</t>
  </si>
  <si>
    <t>Axew</t>
  </si>
  <si>
    <t>paradox-rift</t>
  </si>
  <si>
    <t>22</t>
  </si>
  <si>
    <t>2023-11-03</t>
  </si>
  <si>
    <t>Crown Zenith</t>
  </si>
  <si>
    <t>Perfect Order Booster Bundle</t>
  </si>
  <si>
    <t>Basic Darkness Energy</t>
  </si>
  <si>
    <t>23</t>
  </si>
  <si>
    <t>Pokémon GO</t>
  </si>
  <si>
    <t>Perfect Order ETB</t>
  </si>
  <si>
    <t>Basic Metal Energy</t>
  </si>
  <si>
    <t>24</t>
  </si>
  <si>
    <t>2023-09-22</t>
  </si>
  <si>
    <t>Celebrations</t>
  </si>
  <si>
    <t>Prismatic Evolutions ETB</t>
  </si>
  <si>
    <t>Basic Water Energy</t>
  </si>
  <si>
    <t>25</t>
  </si>
  <si>
    <t>obsidian-flames</t>
  </si>
  <si>
    <t>Chilling Reign</t>
  </si>
  <si>
    <t>2023-08-11</t>
  </si>
  <si>
    <t>Prismatic Evolutions Mini Tin</t>
  </si>
  <si>
    <t>Baxcalibur</t>
  </si>
  <si>
    <t>26</t>
  </si>
  <si>
    <t>Shining Fates</t>
  </si>
  <si>
    <t>Prismatic Evolutions Poster Collection</t>
  </si>
  <si>
    <t>ETB</t>
  </si>
  <si>
    <t>Bewear</t>
  </si>
  <si>
    <t>paldea-evolved</t>
  </si>
  <si>
    <t>27</t>
  </si>
  <si>
    <t>2023-06-09</t>
  </si>
  <si>
    <t>Rebel Clash</t>
  </si>
  <si>
    <t>Prismatic Evolutions Tech Sticker Collection</t>
  </si>
  <si>
    <t>Bianca's Devotion</t>
  </si>
  <si>
    <t>28</t>
  </si>
  <si>
    <t>scarlet-violet</t>
  </si>
  <si>
    <t>Abyss Eye (JP)</t>
  </si>
  <si>
    <t>Trick or Trade BOOster Bundle</t>
  </si>
  <si>
    <t>Bisharp</t>
  </si>
  <si>
    <t>2023-03-31</t>
  </si>
  <si>
    <t xml:space="preserve">Wailord ex - Double Silver Star - Ultra Rare </t>
  </si>
  <si>
    <t>29</t>
  </si>
  <si>
    <t>Battle Partners (KR)</t>
  </si>
  <si>
    <t>Victini Illustration Collection</t>
  </si>
  <si>
    <t>Blastoise ex</t>
  </si>
  <si>
    <t>crown-zenith</t>
  </si>
  <si>
    <t>30</t>
  </si>
  <si>
    <t>2023-01-20</t>
  </si>
  <si>
    <t>Clay Burst (KR)</t>
  </si>
  <si>
    <t>Blaziken</t>
  </si>
  <si>
    <t>31</t>
  </si>
  <si>
    <t>Crimson Haze (KR)</t>
  </si>
  <si>
    <t>pokemon-go</t>
  </si>
  <si>
    <t>Blaziken V</t>
  </si>
  <si>
    <t>32</t>
  </si>
  <si>
    <t>2022-07-01</t>
  </si>
  <si>
    <t>Cyber Judge (JP)</t>
  </si>
  <si>
    <t>Blaziken VMAX</t>
  </si>
  <si>
    <t>33</t>
  </si>
  <si>
    <t>Gem Pack Vol. 2 (CN)</t>
  </si>
  <si>
    <t>celebrations</t>
  </si>
  <si>
    <t>Blissey V</t>
  </si>
  <si>
    <t>34</t>
  </si>
  <si>
    <t>2021-10-08</t>
  </si>
  <si>
    <t>Mask of Change (KR)</t>
  </si>
  <si>
    <t>Blitzle</t>
  </si>
  <si>
    <t>35</t>
  </si>
  <si>
    <t>Mega Brave (JP)</t>
  </si>
  <si>
    <t>Bloodmoon Ursaluna ex</t>
  </si>
  <si>
    <t>chilling-reign</t>
  </si>
  <si>
    <t>36</t>
  </si>
  <si>
    <t>2021-06-18</t>
  </si>
  <si>
    <t>_RuAmy2dGL8</t>
  </si>
  <si>
    <t>Mega Symphonia (JP)</t>
  </si>
  <si>
    <t>Boss's Orders</t>
  </si>
  <si>
    <t>Is Rampardos ex a "Real" Hit? 🦖🤔</t>
  </si>
  <si>
    <t>Nihil Zero (JP)</t>
  </si>
  <si>
    <t>Boss's Orders (Giovanni)</t>
  </si>
  <si>
    <t>shining-fates</t>
  </si>
  <si>
    <t>2026-08-19</t>
  </si>
  <si>
    <t>Ninja Spinner (JP)</t>
  </si>
  <si>
    <t>2021-02-19</t>
  </si>
  <si>
    <t>Bouffalant ex</t>
  </si>
  <si>
    <t>0:20</t>
  </si>
  <si>
    <t>Stellar Miracle (JP)</t>
  </si>
  <si>
    <t>Briar</t>
  </si>
  <si>
    <t>rebel-clash</t>
  </si>
  <si>
    <t>Violet ex (JP)</t>
  </si>
  <si>
    <t>Brute Bonnet</t>
  </si>
  <si>
    <t>2020-05-01</t>
  </si>
  <si>
    <t>Scarlet &amp; Violet Energies</t>
  </si>
  <si>
    <t>Buddy-Buddy Poffin</t>
  </si>
  <si>
    <t>Crown Zenith Galarian Gallery</t>
  </si>
  <si>
    <t>Bulbasaur</t>
  </si>
  <si>
    <t>Scarlet &amp; Violet Black Star Promos</t>
  </si>
  <si>
    <t>These two facts are not in the card database and are not guessed. The set guides omit them until you fill them in.</t>
  </si>
  <si>
    <t>Caitlin</t>
  </si>
  <si>
    <t>Silver Tempest</t>
  </si>
  <si>
    <t>Canari</t>
  </si>
  <si>
    <t>Silver Tempest Trainer Gallery</t>
  </si>
  <si>
    <t>Carmine</t>
  </si>
  <si>
    <t>Lost Origin</t>
  </si>
  <si>
    <t>Carracosta</t>
  </si>
  <si>
    <t>Lost Origin Trainer Gallery</t>
  </si>
  <si>
    <t>Cassiopeia</t>
  </si>
  <si>
    <t>McDonald's Collection 2022</t>
  </si>
  <si>
    <t>Caterpie</t>
  </si>
  <si>
    <t>desc: pack 9  Pitch Black</t>
  </si>
  <si>
    <t>Astral Radiance</t>
  </si>
  <si>
    <t>Celebi V</t>
  </si>
  <si>
    <t>Astral Radiance Trainer Gallery</t>
  </si>
  <si>
    <t>Celebi VMAX</t>
  </si>
  <si>
    <t>Brilliant Stars</t>
  </si>
  <si>
    <t>Ceruledge</t>
  </si>
  <si>
    <t>Brilliant Stars Trainer Gallery</t>
  </si>
  <si>
    <t>Ceruledge ex</t>
  </si>
  <si>
    <t>Fusion Strike</t>
  </si>
  <si>
    <t>Chandelure</t>
  </si>
  <si>
    <t>Celebrations: Classic Collection</t>
  </si>
  <si>
    <t>Chansey</t>
  </si>
  <si>
    <t>Evolving Skies</t>
  </si>
  <si>
    <t>Charizard ex</t>
  </si>
  <si>
    <t>Battle Styles</t>
  </si>
  <si>
    <t>Charmander</t>
  </si>
  <si>
    <t>Shining Fates Shiny Vault</t>
  </si>
  <si>
    <t>Charmeleon</t>
  </si>
  <si>
    <t>iIgTusrqVtg</t>
  </si>
  <si>
    <t>McDonald's Collection 2021</t>
  </si>
  <si>
    <t>Chatot</t>
  </si>
  <si>
    <t>I Just Pulled a $1,000 Card! 😱🐸</t>
  </si>
  <si>
    <t>Vivid Voltage</t>
  </si>
  <si>
    <t>2026-08-18</t>
  </si>
  <si>
    <t>Chi-Yu ex</t>
  </si>
  <si>
    <t>Champion's Path</t>
  </si>
  <si>
    <t>0:28</t>
  </si>
  <si>
    <t>Chien-Pao ex</t>
  </si>
  <si>
    <t>Pokémon Futsal Collection</t>
  </si>
  <si>
    <t>Cinccino</t>
  </si>
  <si>
    <t>Darkness Ablaze</t>
  </si>
  <si>
    <t>Cinccino ex</t>
  </si>
  <si>
    <t>Sword &amp; Shield</t>
  </si>
  <si>
    <t>Cinderace VMAX</t>
  </si>
  <si>
    <t>SWSH Black Star Promos</t>
  </si>
  <si>
    <t>Clefairy</t>
  </si>
  <si>
    <t>Cosmic Eclipse</t>
  </si>
  <si>
    <t>Cleffa</t>
  </si>
  <si>
    <t>McDonald's Collection 2019</t>
  </si>
  <si>
    <t>Clive</t>
  </si>
  <si>
    <t>Hidden Fates</t>
  </si>
  <si>
    <t>Cobalion</t>
  </si>
  <si>
    <t>Hidden Fates Shiny Vault</t>
  </si>
  <si>
    <t>Cofagrigus</t>
  </si>
  <si>
    <t>Unified Minds</t>
  </si>
  <si>
    <t>Conkeldurr</t>
  </si>
  <si>
    <t>desc: #3 pack 3  Chaos Rising</t>
  </si>
  <si>
    <t>Unbroken Bonds</t>
  </si>
  <si>
    <t>Cornerstone Mask Ogerpon ex</t>
  </si>
  <si>
    <t>Detective Pikachu</t>
  </si>
  <si>
    <t>Cresselia</t>
  </si>
  <si>
    <t>Team Up</t>
  </si>
  <si>
    <t>Crispin</t>
  </si>
  <si>
    <t xml:space="preserve">Mega Greninja ex -Mega Yellow Star - Mega Hyper Rare </t>
  </si>
  <si>
    <t>Lost Thunder</t>
  </si>
  <si>
    <t>Crocalor</t>
  </si>
  <si>
    <t>McDonald's Collection 2018</t>
  </si>
  <si>
    <t>Cubchoo</t>
  </si>
  <si>
    <t>Dragon Majesty</t>
  </si>
  <si>
    <t>Cufant</t>
  </si>
  <si>
    <t>Celestial Storm</t>
  </si>
  <si>
    <t>Cynthia's Garchomp ex</t>
  </si>
  <si>
    <t>Forbidden Light</t>
  </si>
  <si>
    <t>DP8HG31X1rg</t>
  </si>
  <si>
    <t>Cynthia's Roserade</t>
  </si>
  <si>
    <t>Is Pack #13 Actually CURSED? 💀🌑</t>
  </si>
  <si>
    <t>Ultra Prism</t>
  </si>
  <si>
    <t>2026-08-17</t>
  </si>
  <si>
    <t>Cynthia's Spiritomb</t>
  </si>
  <si>
    <t>McDonald's Collection 2017</t>
  </si>
  <si>
    <t>Dachsbun ex</t>
  </si>
  <si>
    <t>Crimson Invasion</t>
  </si>
  <si>
    <t>Darmanitan</t>
  </si>
  <si>
    <t>Shining Legends</t>
  </si>
  <si>
    <t>Darumaka</t>
  </si>
  <si>
    <t>Burning Shadows</t>
  </si>
  <si>
    <t>Dawn</t>
  </si>
  <si>
    <t>Guardians Rising</t>
  </si>
  <si>
    <t>Dedenne ex</t>
  </si>
  <si>
    <t>SM Black Star Promos</t>
  </si>
  <si>
    <t>Deerling</t>
  </si>
  <si>
    <t>Sun &amp; Moon</t>
  </si>
  <si>
    <t>Deino</t>
  </si>
  <si>
    <t>Evolutions</t>
  </si>
  <si>
    <t>Dewott</t>
  </si>
  <si>
    <t>title: pack 13  Chaos Rising</t>
  </si>
  <si>
    <t>McDonald's Collection 2016</t>
  </si>
  <si>
    <t>Dipplin</t>
  </si>
  <si>
    <t>Steam Siege</t>
  </si>
  <si>
    <t>Ditto</t>
  </si>
  <si>
    <t>Fates Collide</t>
  </si>
  <si>
    <t>Dondozo</t>
  </si>
  <si>
    <t>Generations</t>
  </si>
  <si>
    <t>Dragapult V</t>
  </si>
  <si>
    <t>BREAKpoint</t>
  </si>
  <si>
    <t>Dragapult VMAX</t>
  </si>
  <si>
    <t>McDonald's Collection 2015</t>
  </si>
  <si>
    <t>Dragapult ex</t>
  </si>
  <si>
    <t>BREAKthrough</t>
  </si>
  <si>
    <t>Dragonair</t>
  </si>
  <si>
    <t>VZtK6rT7ZTI</t>
  </si>
  <si>
    <t>Ancient Origins</t>
  </si>
  <si>
    <t>Dragonite V</t>
  </si>
  <si>
    <t>Trubbish Food 🗑️🤘 | Pitch Black Pack #8</t>
  </si>
  <si>
    <t>Roaring Skies</t>
  </si>
  <si>
    <t>Dragonite VSTAR</t>
  </si>
  <si>
    <t>2026-08-16</t>
  </si>
  <si>
    <t>Double Crisis</t>
  </si>
  <si>
    <t>Drampa</t>
  </si>
  <si>
    <t>0:21</t>
  </si>
  <si>
    <t>Primal Clash</t>
  </si>
  <si>
    <t>Drayton</t>
  </si>
  <si>
    <t>Phantom Forces</t>
  </si>
  <si>
    <t>Drowzee</t>
  </si>
  <si>
    <t>Furious Fists</t>
  </si>
  <si>
    <t>Druddigon</t>
  </si>
  <si>
    <t>McDonald's Collection 2014</t>
  </si>
  <si>
    <t>Ducklett</t>
  </si>
  <si>
    <t>Flashfire</t>
  </si>
  <si>
    <t>Dudunsparce</t>
  </si>
  <si>
    <t>XY</t>
  </si>
  <si>
    <t>Duosion</t>
  </si>
  <si>
    <t>Kalos Starter Set</t>
  </si>
  <si>
    <t>Durant ex</t>
  </si>
  <si>
    <t>Progress</t>
  </si>
  <si>
    <t>Legendary Treasures</t>
  </si>
  <si>
    <t>title: pack 8  Pitch Black</t>
  </si>
  <si>
    <t>Dusclops</t>
  </si>
  <si>
    <t>XY Black Star Promos</t>
  </si>
  <si>
    <t>Dusknoir</t>
  </si>
  <si>
    <t>Videos in the log</t>
  </si>
  <si>
    <t>Plasma Blast</t>
  </si>
  <si>
    <t>Duskull</t>
  </si>
  <si>
    <t>Plasma Freeze</t>
  </si>
  <si>
    <t>Dwebble</t>
  </si>
  <si>
    <t>Plasma Storm</t>
  </si>
  <si>
    <t>Earthen Vessel</t>
  </si>
  <si>
    <t>Boundaries Crossed</t>
  </si>
  <si>
    <t>Eelektrik</t>
  </si>
  <si>
    <t>Dragon Vault</t>
  </si>
  <si>
    <t>Eelektross</t>
  </si>
  <si>
    <t>Dragons Exalted</t>
  </si>
  <si>
    <t>Eevee</t>
  </si>
  <si>
    <t>McDonald's Collection 2012</t>
  </si>
  <si>
    <t>E5Wz7X1VMeY</t>
  </si>
  <si>
    <t>Eevee ex</t>
  </si>
  <si>
    <t>Dark Explorers</t>
  </si>
  <si>
    <t>8 Packs and NO HITS?! 🌑💀</t>
  </si>
  <si>
    <t>Eiscue</t>
  </si>
  <si>
    <t>2026-08-15</t>
  </si>
  <si>
    <t>Next Destinies</t>
  </si>
  <si>
    <t>Electrode</t>
  </si>
  <si>
    <t>0:19</t>
  </si>
  <si>
    <t>Noble Victories</t>
  </si>
  <si>
    <t>Elesa's Sparkle</t>
  </si>
  <si>
    <t>Emerging Powers</t>
  </si>
  <si>
    <t>Elgyem</t>
  </si>
  <si>
    <t>McDonald's Collection 2011</t>
  </si>
  <si>
    <t>Emboar</t>
  </si>
  <si>
    <t>Black &amp; White</t>
  </si>
  <si>
    <t>Emolga</t>
  </si>
  <si>
    <t>BW Black Star Promos</t>
  </si>
  <si>
    <t>desc: pack 8  Pitch Black</t>
  </si>
  <si>
    <t>Entei</t>
  </si>
  <si>
    <t>Call of Legends</t>
  </si>
  <si>
    <t>Product filled in</t>
  </si>
  <si>
    <t>Eri</t>
  </si>
  <si>
    <t>HS—Triumphant</t>
  </si>
  <si>
    <t>Erika's Invitation</t>
  </si>
  <si>
    <t>HS—Undaunted</t>
  </si>
  <si>
    <t>Erika's Tangela</t>
  </si>
  <si>
    <t>HS—Unleashed</t>
  </si>
  <si>
    <t>Escavalier</t>
  </si>
  <si>
    <t>HeartGold &amp; SoulSilver</t>
  </si>
  <si>
    <t>Espeon ex</t>
  </si>
  <si>
    <t>HGSS Black Star Promos</t>
  </si>
  <si>
    <t>Ethan's Adventure</t>
  </si>
  <si>
    <t>Still missing a product</t>
  </si>
  <si>
    <t>Pokémon Rumble</t>
  </si>
  <si>
    <t>Ethan's Ho-Oh ex</t>
  </si>
  <si>
    <t>Arceus</t>
  </si>
  <si>
    <t>Ethan's Typhlosion</t>
  </si>
  <si>
    <t>Supreme Victors</t>
  </si>
  <si>
    <t>Excadrill</t>
  </si>
  <si>
    <t>Rising Rivals</t>
  </si>
  <si>
    <t>Excadrill ex</t>
  </si>
  <si>
    <t>T2-UqY2ZSOw</t>
  </si>
  <si>
    <t>POP Series 9</t>
  </si>
  <si>
    <t>The Chaos Rising Struggle is REAL 💀</t>
  </si>
  <si>
    <t>Farigiraf</t>
  </si>
  <si>
    <t>2026-08-14</t>
  </si>
  <si>
    <t>Platinum</t>
  </si>
  <si>
    <t>Ferrothorn</t>
  </si>
  <si>
    <t>Stormfront</t>
  </si>
  <si>
    <t>Fezandipiti</t>
  </si>
  <si>
    <t>Sets &amp; Packs filled in</t>
  </si>
  <si>
    <t>POP Series 8</t>
  </si>
  <si>
    <t>Fezandipiti ex</t>
  </si>
  <si>
    <t>Legends Awakened</t>
  </si>
  <si>
    <t>Fidough</t>
  </si>
  <si>
    <t>Majestic Dawn</t>
  </si>
  <si>
    <t>Fighting Energy</t>
  </si>
  <si>
    <t>POP Series 7</t>
  </si>
  <si>
    <t>Flamigo</t>
  </si>
  <si>
    <t>Great Encounters</t>
  </si>
  <si>
    <t>Flannery</t>
  </si>
  <si>
    <t>Still missing Sets &amp; Packs</t>
  </si>
  <si>
    <t>Secret Wonders</t>
  </si>
  <si>
    <t>Flareon ex</t>
  </si>
  <si>
    <t>POP Series 6</t>
  </si>
  <si>
    <t>Fletchinder</t>
  </si>
  <si>
    <t>Mysterious Treasures</t>
  </si>
  <si>
    <t>Floragato</t>
  </si>
  <si>
    <t>Diamond &amp; Pearl</t>
  </si>
  <si>
    <t>Foongus</t>
  </si>
  <si>
    <t>DP Black Star Promos</t>
  </si>
  <si>
    <t>Fraxure</t>
  </si>
  <si>
    <t>desc: pack 2  Chaos Rising</t>
  </si>
  <si>
    <t>POP Series 5</t>
  </si>
  <si>
    <t>Frigibax</t>
  </si>
  <si>
    <t>Pack number filled in</t>
  </si>
  <si>
    <t>Power Keepers</t>
  </si>
  <si>
    <t>Frillish</t>
  </si>
  <si>
    <t>Dragon Frontiers</t>
  </si>
  <si>
    <t>Frosmoth</t>
  </si>
  <si>
    <t>Crystal Guardians</t>
  </si>
  <si>
    <t>Fuecoco</t>
  </si>
  <si>
    <t>POP Series 4</t>
  </si>
  <si>
    <t>Galarian Articuno V</t>
  </si>
  <si>
    <t>Marked as a hit</t>
  </si>
  <si>
    <t>Holon Phantoms</t>
  </si>
  <si>
    <t>Galarian Moltres V</t>
  </si>
  <si>
    <t>O5WscUY7qZI</t>
  </si>
  <si>
    <t>POP Series 3</t>
  </si>
  <si>
    <t>Galarian Rapidash V</t>
  </si>
  <si>
    <t>The Cutest Pull Ever?! 🐭✨ Chaos Rising</t>
  </si>
  <si>
    <t>EX Trainer Kit 2 Minun</t>
  </si>
  <si>
    <t>2026-08-13</t>
  </si>
  <si>
    <t>Galarian Slowking V</t>
  </si>
  <si>
    <t>EX Trainer Kit 2 Plusle</t>
  </si>
  <si>
    <t>Galarian Zapdos V</t>
  </si>
  <si>
    <t>Legend Maker</t>
  </si>
  <si>
    <t>Galvantula</t>
  </si>
  <si>
    <t>Delta Species</t>
  </si>
  <si>
    <t>Galvantula ex</t>
  </si>
  <si>
    <t>Hit info written</t>
  </si>
  <si>
    <t>POP Series 2</t>
  </si>
  <si>
    <t>Garbodor</t>
  </si>
  <si>
    <t>Unseen Forces</t>
  </si>
  <si>
    <t>Garchomp ex</t>
  </si>
  <si>
    <t>Emerald</t>
  </si>
  <si>
    <t>desc: pack 12  Chaos Rising</t>
  </si>
  <si>
    <t>Gardevoir ex</t>
  </si>
  <si>
    <t>Deoxys</t>
  </si>
  <si>
    <t>Gastly</t>
  </si>
  <si>
    <t>Team Rocket Returns</t>
  </si>
  <si>
    <t>Cinccino ex - Double Black Star - Double Rare</t>
  </si>
  <si>
    <t>Genesect ex</t>
  </si>
  <si>
    <t>In Greatest Hits</t>
  </si>
  <si>
    <t>FireRed &amp; LeafGreen</t>
  </si>
  <si>
    <t>Gengar ex</t>
  </si>
  <si>
    <t>POP Series 1</t>
  </si>
  <si>
    <t>Gholdengo ex</t>
  </si>
  <si>
    <t>EX Trainer Kit Latias</t>
  </si>
  <si>
    <t>Gigalith</t>
  </si>
  <si>
    <t>IQMn3DNCzik</t>
  </si>
  <si>
    <t>EX Trainer Kit Latios</t>
  </si>
  <si>
    <t>This ETB is BREAKING me! 🌑💀</t>
  </si>
  <si>
    <t>Gimmighoul</t>
  </si>
  <si>
    <t>2026-08-12</t>
  </si>
  <si>
    <t>Hidden Legends</t>
  </si>
  <si>
    <t>Given a rank</t>
  </si>
  <si>
    <t>Giovanni's Charisma</t>
  </si>
  <si>
    <t>Team Magma vs Team Aqua</t>
  </si>
  <si>
    <t>Glaceon ex</t>
  </si>
  <si>
    <t>Dragon</t>
  </si>
  <si>
    <t>Gladion's Final Battle</t>
  </si>
  <si>
    <t>Nintendo Black Star Promos</t>
  </si>
  <si>
    <t>Gloom</t>
  </si>
  <si>
    <t>Sandstorm</t>
  </si>
  <si>
    <t>Goldeen</t>
  </si>
  <si>
    <t>Ruby &amp; Sapphire</t>
  </si>
  <si>
    <t>Counts update as you type. Blank cells are skipped by the import, so a half-filled sheet is fine.</t>
  </si>
  <si>
    <t>Golett</t>
  </si>
  <si>
    <t>desc: pack 7  Pitch Black</t>
  </si>
  <si>
    <t>Skyridge</t>
  </si>
  <si>
    <t>Golisopod ex</t>
  </si>
  <si>
    <t>Aquapolis</t>
  </si>
  <si>
    <t>Golurk</t>
  </si>
  <si>
    <t>Best of Game</t>
  </si>
  <si>
    <t>Gothita</t>
  </si>
  <si>
    <t>Expedition Base Set</t>
  </si>
  <si>
    <t>Gothorita</t>
  </si>
  <si>
    <t>Legendary Collection</t>
  </si>
  <si>
    <t>Gouging Fire ex</t>
  </si>
  <si>
    <t>2XdMKde79M8</t>
  </si>
  <si>
    <t>Neo Destiny</t>
  </si>
  <si>
    <t>Great Tusk ex</t>
  </si>
  <si>
    <t>Pitch Black is SAVAGE Today! 🌑💀</t>
  </si>
  <si>
    <t>2026-08-11</t>
  </si>
  <si>
    <t>Neo Revelation</t>
  </si>
  <si>
    <t>Greavard</t>
  </si>
  <si>
    <t>0:18</t>
  </si>
  <si>
    <t>Southern Islands</t>
  </si>
  <si>
    <t>Greninja ex</t>
  </si>
  <si>
    <t>Neo Discovery</t>
  </si>
  <si>
    <t>Grotle</t>
  </si>
  <si>
    <t>Neo Genesis</t>
  </si>
  <si>
    <t>Groudon</t>
  </si>
  <si>
    <t>Gym Challenge</t>
  </si>
  <si>
    <t>Grusha</t>
  </si>
  <si>
    <t>Gym Heroes</t>
  </si>
  <si>
    <t>Gulpin</t>
  </si>
  <si>
    <t>Team Rocket</t>
  </si>
  <si>
    <t>Gurdurr</t>
  </si>
  <si>
    <t>Base Set 2</t>
  </si>
  <si>
    <t>Gwynn</t>
  </si>
  <si>
    <t>Fossil</t>
  </si>
  <si>
    <t>Haxorus</t>
  </si>
  <si>
    <t>Wizards Black Star Promos</t>
  </si>
  <si>
    <t>Hearthflame Mask Ogerpon ex</t>
  </si>
  <si>
    <t>Jungle</t>
  </si>
  <si>
    <t>Heracross</t>
  </si>
  <si>
    <t>Base</t>
  </si>
  <si>
    <t>RZInASE6x1c</t>
  </si>
  <si>
    <t>Herdier</t>
  </si>
  <si>
    <t>Chaos Rising ETB #3: The First Pack Reality 💀</t>
  </si>
  <si>
    <t>Multiple sets</t>
  </si>
  <si>
    <t>2026-08-10</t>
  </si>
  <si>
    <t>Hero's Cape</t>
  </si>
  <si>
    <t>Not a set (sealed/other)</t>
  </si>
  <si>
    <t>Hilda</t>
  </si>
  <si>
    <t>Hisuian Growlithe</t>
  </si>
  <si>
    <t>Hop's Zacian ex</t>
  </si>
  <si>
    <t>Horsea</t>
  </si>
  <si>
    <t>Houndoom</t>
  </si>
  <si>
    <t>Hydrapple ex</t>
  </si>
  <si>
    <t>Hydreigon ex</t>
  </si>
  <si>
    <t>title: #3  Chaos Rising</t>
  </si>
  <si>
    <t>Ice Rider Calyrex V</t>
  </si>
  <si>
    <t>Ice Rider Calyrex VMAX</t>
  </si>
  <si>
    <t>Infernape</t>
  </si>
  <si>
    <t>Iono</t>
  </si>
  <si>
    <t>Iono's Bellibolt ex</t>
  </si>
  <si>
    <t>Iris's Fighting Spirit</t>
  </si>
  <si>
    <t>Iron Boulder ex</t>
  </si>
  <si>
    <t>oSPbl9reyIM</t>
  </si>
  <si>
    <t>Iron Crown ex</t>
  </si>
  <si>
    <t>The most DISAPPOINTING "Hit" 💀 Pitch Black</t>
  </si>
  <si>
    <t>Iron Hands ex</t>
  </si>
  <si>
    <t>2026-08-09</t>
  </si>
  <si>
    <t>Iron Leaves ex</t>
  </si>
  <si>
    <t>0:22</t>
  </si>
  <si>
    <t>Iron Valiant ex</t>
  </si>
  <si>
    <t>Ivysaur</t>
  </si>
  <si>
    <t>Jacinthe</t>
  </si>
  <si>
    <t>Janine's Secret Art</t>
  </si>
  <si>
    <t>Jasmine's Gaze</t>
  </si>
  <si>
    <t>Jellicent ex</t>
  </si>
  <si>
    <t>Jigglypuff</t>
  </si>
  <si>
    <t>desc: pack 6  Pitch Black</t>
  </si>
  <si>
    <t>Jolteon ex</t>
  </si>
  <si>
    <t>Joltik</t>
  </si>
  <si>
    <t>Rampardos ex - Double Black Star - Double Rare</t>
  </si>
  <si>
    <t>Kangaskhan</t>
  </si>
  <si>
    <t>Karen's Conviction</t>
  </si>
  <si>
    <t>Karrablast</t>
  </si>
  <si>
    <t>Keldeo ex</t>
  </si>
  <si>
    <t>Kieran</t>
  </si>
  <si>
    <t>inTMqcQmFhM</t>
  </si>
  <si>
    <t>Did this Bundle have ANY hits?! 📉💀</t>
  </si>
  <si>
    <t>Kirlia</t>
  </si>
  <si>
    <t>2026-08-08</t>
  </si>
  <si>
    <t>Klara</t>
  </si>
  <si>
    <t>0:23</t>
  </si>
  <si>
    <t>Klinklang</t>
  </si>
  <si>
    <t>Koraidon ex</t>
  </si>
  <si>
    <t>Krokorok</t>
  </si>
  <si>
    <t>Krookodile</t>
  </si>
  <si>
    <t>Kyurem ex</t>
  </si>
  <si>
    <t>Lacey</t>
  </si>
  <si>
    <t>desc: pack 6  Booster Bundle  Pitch Black</t>
  </si>
  <si>
    <t>Lampent</t>
  </si>
  <si>
    <t>Lana's Aid</t>
  </si>
  <si>
    <t>Landorus</t>
  </si>
  <si>
    <t>Larvesta</t>
  </si>
  <si>
    <t>b8CfpcK7-h0</t>
  </si>
  <si>
    <t>Latias ex</t>
  </si>
  <si>
    <t>2026-08-07</t>
  </si>
  <si>
    <t>Latios</t>
  </si>
  <si>
    <t>Leafeon ex</t>
  </si>
  <si>
    <t>Leavanny</t>
  </si>
  <si>
    <t>Lechonk</t>
  </si>
  <si>
    <t>Lickitung</t>
  </si>
  <si>
    <t>Liepard</t>
  </si>
  <si>
    <t>Lillie's Clefairy ex</t>
  </si>
  <si>
    <t>Lillie's Determination</t>
  </si>
  <si>
    <t>Lilligant</t>
  </si>
  <si>
    <t>Lillipup</t>
  </si>
  <si>
    <t>Lisia's Appeal</t>
  </si>
  <si>
    <t>Litten</t>
  </si>
  <si>
    <t>Key</t>
  </si>
  <si>
    <t>Litwick</t>
  </si>
  <si>
    <t>Loudred</t>
  </si>
  <si>
    <t>Set</t>
  </si>
  <si>
    <t>aa9jzXRFtrg</t>
  </si>
  <si>
    <t>Card</t>
  </si>
  <si>
    <t>Lt. Surge's Bargain</t>
  </si>
  <si>
    <t>The Box Ends with a Garbage Rip... 🗑️</t>
  </si>
  <si>
    <t>Number</t>
  </si>
  <si>
    <t>2026-08-06</t>
  </si>
  <si>
    <t>Lucario</t>
  </si>
  <si>
    <t>Rarity</t>
  </si>
  <si>
    <t>Raw USD</t>
  </si>
  <si>
    <t>Machoke</t>
  </si>
  <si>
    <t>Magby</t>
  </si>
  <si>
    <t>PSA 10 USD</t>
  </si>
  <si>
    <t>Magikarp</t>
  </si>
  <si>
    <t>Mantyke</t>
  </si>
  <si>
    <t>PSA 10 Checked</t>
  </si>
  <si>
    <t>Marill</t>
  </si>
  <si>
    <t>PSA 10 Source</t>
  </si>
  <si>
    <t>Marnie's Grimmsnarl ex</t>
  </si>
  <si>
    <t>Most Wanted</t>
  </si>
  <si>
    <t>Marshadow</t>
  </si>
  <si>
    <t>desc: pack 8  ex Premium Collection  Perfect Order</t>
  </si>
  <si>
    <t>Maushold</t>
  </si>
  <si>
    <t>ex Premium Collection Box</t>
  </si>
  <si>
    <t>Pulled On</t>
  </si>
  <si>
    <t>Maushold ex</t>
  </si>
  <si>
    <t>Pulled In Video</t>
  </si>
  <si>
    <t>Mega Absol ex</t>
  </si>
  <si>
    <t>Why I Want It</t>
  </si>
  <si>
    <t>Mega Chandelure ex</t>
  </si>
  <si>
    <t>Mega Charizard X ex</t>
  </si>
  <si>
    <t>pitch-black-116</t>
  </si>
  <si>
    <t>Mega Charizard Y ex</t>
  </si>
  <si>
    <t>Mega Darkrai ex</t>
  </si>
  <si>
    <t>Mega Clefable ex</t>
  </si>
  <si>
    <t>116</t>
  </si>
  <si>
    <t>Special illustration rare</t>
  </si>
  <si>
    <t>znsnYB6boh4</t>
  </si>
  <si>
    <t>Where did the hits go?! 📉 Pitch Black ETB</t>
  </si>
  <si>
    <t>2026-08-05</t>
  </si>
  <si>
    <t>Mega Diancie ex</t>
  </si>
  <si>
    <t>Mega Dragalge ex</t>
  </si>
  <si>
    <t>Mega Dragonite ex</t>
  </si>
  <si>
    <t>Mega Eelektross ex</t>
  </si>
  <si>
    <t>Mega Emboar ex</t>
  </si>
  <si>
    <t>Mega Feraligatr ex</t>
  </si>
  <si>
    <t>Mega Floette ex</t>
  </si>
  <si>
    <t>Mega Froslass ex</t>
  </si>
  <si>
    <t>desc: pack 5  Pitch Black</t>
  </si>
  <si>
    <t>Mega Gardevoir ex</t>
  </si>
  <si>
    <t>Mega Gengar ex</t>
  </si>
  <si>
    <t>Mega Greninja ex</t>
  </si>
  <si>
    <t>Mega Hawlucha ex</t>
  </si>
  <si>
    <t>Mega Kangaskhan ex</t>
  </si>
  <si>
    <t>Mega Latias ex</t>
  </si>
  <si>
    <t>Mega Lopunny ex</t>
  </si>
  <si>
    <t>16jOkWyE1Cs</t>
  </si>
  <si>
    <t>Mega Lucario ex</t>
  </si>
  <si>
    <t>The "Pitch Black" Curse is Real! 🌒💀</t>
  </si>
  <si>
    <t>2026-08-04</t>
  </si>
  <si>
    <t>Mega Meganium ex</t>
  </si>
  <si>
    <t>Mega Scrafty ex</t>
  </si>
  <si>
    <t>Mega Sharpedo ex</t>
  </si>
  <si>
    <t>Mega Starmie ex</t>
  </si>
  <si>
    <t>Mega Venusaur ex</t>
  </si>
  <si>
    <t>Mega Zeraora ex</t>
  </si>
  <si>
    <t>Mega Zygarde ex</t>
  </si>
  <si>
    <t>Melmetal VMAX</t>
  </si>
  <si>
    <t>desc: pack 5  Booster Bundle  Pitch Black</t>
  </si>
  <si>
    <t>Meloetta ex</t>
  </si>
  <si>
    <t>Meowscarada ex</t>
  </si>
  <si>
    <t>Meowth</t>
  </si>
  <si>
    <t>Meowth ex</t>
  </si>
  <si>
    <t>Mesprit</t>
  </si>
  <si>
    <t>Metagross</t>
  </si>
  <si>
    <t>Metagross VMAX</t>
  </si>
  <si>
    <t>LmdyCAqDodM</t>
  </si>
  <si>
    <t>GOLD STAR IN A SINGLE PACK?! 😱 Bastion IR</t>
  </si>
  <si>
    <t>Mew</t>
  </si>
  <si>
    <t>2026-08-03</t>
  </si>
  <si>
    <t>Mew ex</t>
  </si>
  <si>
    <t>The one. Pitch Black's chase, and the reason the box keeps getting opened.</t>
  </si>
  <si>
    <t>Mewtwo V</t>
  </si>
  <si>
    <t>pitch-black-120</t>
  </si>
  <si>
    <t>Mewtwo VSTAR</t>
  </si>
  <si>
    <t>120</t>
  </si>
  <si>
    <t>Mienfoo</t>
  </si>
  <si>
    <t>Milcery</t>
  </si>
  <si>
    <t>Milotic V</t>
  </si>
  <si>
    <t>Milotic ex</t>
  </si>
  <si>
    <t>Mimikyu</t>
  </si>
  <si>
    <t>Minccino</t>
  </si>
  <si>
    <t>Bastiodon - Single Gold Star - Illustration Rare</t>
  </si>
  <si>
    <t>Minior</t>
  </si>
  <si>
    <t>pitch-black-117</t>
  </si>
  <si>
    <t>Minun</t>
  </si>
  <si>
    <t>Morpeko ex</t>
  </si>
  <si>
    <t>117</t>
  </si>
  <si>
    <t>Miraidon ex</t>
  </si>
  <si>
    <t>Miriam</t>
  </si>
  <si>
    <t>Mismagius</t>
  </si>
  <si>
    <t>k6p_6HEntYw</t>
  </si>
  <si>
    <t>Misty's Lapras</t>
  </si>
  <si>
    <t>Mega Skarmory ex Double Rare Pull! 🦅</t>
  </si>
  <si>
    <t>2026-08-02</t>
  </si>
  <si>
    <t>Misty's Psyduck</t>
  </si>
  <si>
    <t>Misty's Vitality</t>
  </si>
  <si>
    <t>pitch-black-114</t>
  </si>
  <si>
    <t>Morpeko</t>
  </si>
  <si>
    <t>114</t>
  </si>
  <si>
    <t>Raw NM USD</t>
  </si>
  <si>
    <t>Morty's Conviction</t>
  </si>
  <si>
    <t>Mr. Mime</t>
  </si>
  <si>
    <t>Hall of Fame</t>
  </si>
  <si>
    <t>Munkidori</t>
  </si>
  <si>
    <t>desc: pack 7  ex Premium Collection  Perfect Order</t>
  </si>
  <si>
    <t>Munkidori ex</t>
  </si>
  <si>
    <t>kj7532tb0_I</t>
  </si>
  <si>
    <t>Munna</t>
  </si>
  <si>
    <t>Mega Skarmory ex - Double Silver Star - Ultra Rare</t>
  </si>
  <si>
    <t>pitch-black-115</t>
  </si>
  <si>
    <t>Musharna</t>
  </si>
  <si>
    <t>N's Plan</t>
  </si>
  <si>
    <t>115</t>
  </si>
  <si>
    <t>N's Reshiram</t>
  </si>
  <si>
    <t>N's Zoroark ex</t>
  </si>
  <si>
    <t>Neo Upper Energy</t>
  </si>
  <si>
    <t>ndzNjhARITQ</t>
  </si>
  <si>
    <t>Nidoking</t>
  </si>
  <si>
    <t>Toucannon Illustration Rare! 🌴 | Pitch Black ETB</t>
  </si>
  <si>
    <t>2026-08-01</t>
  </si>
  <si>
    <t>Ninetales</t>
  </si>
  <si>
    <t>Ninetales V</t>
  </si>
  <si>
    <t>pitch-black-119</t>
  </si>
  <si>
    <t>Ninetales ex</t>
  </si>
  <si>
    <t>119</t>
  </si>
  <si>
    <t>Oddish</t>
  </si>
  <si>
    <t>Okidogi</t>
  </si>
  <si>
    <t>Okidogi ex</t>
  </si>
  <si>
    <t>Omanyte</t>
  </si>
  <si>
    <t>desc: pack 4  Pitch Black</t>
  </si>
  <si>
    <t>Oshawott</t>
  </si>
  <si>
    <t>Pachirisu</t>
  </si>
  <si>
    <t>pitch-black-118</t>
  </si>
  <si>
    <t>Palafin ex</t>
  </si>
  <si>
    <t>Toucannon - Single Gold Star - Illustration Rare</t>
  </si>
  <si>
    <t>Paldean Tauros</t>
  </si>
  <si>
    <t>118</t>
  </si>
  <si>
    <t>Paldean Wooper</t>
  </si>
  <si>
    <t>Palpitoad</t>
  </si>
  <si>
    <t>Panpour</t>
  </si>
  <si>
    <t>fY-u0pxphVo</t>
  </si>
  <si>
    <t>Pansage</t>
  </si>
  <si>
    <t>Is the Pitch Black Bundle a Dud Now? 📉</t>
  </si>
  <si>
    <t>2026-07-31</t>
  </si>
  <si>
    <t>Pansear</t>
  </si>
  <si>
    <t>Parasol Lady</t>
  </si>
  <si>
    <t>pitch-black-111</t>
  </si>
  <si>
    <t>Patrat</t>
  </si>
  <si>
    <t>111</t>
  </si>
  <si>
    <t>Pecharunt ex</t>
  </si>
  <si>
    <t>Penny</t>
  </si>
  <si>
    <t>Peonia</t>
  </si>
  <si>
    <t>Perrin</t>
  </si>
  <si>
    <t>Persian</t>
  </si>
  <si>
    <t>desc: pack 4  Booster Bundle  Pitch Black</t>
  </si>
  <si>
    <t>Petilil</t>
  </si>
  <si>
    <t>Phione</t>
  </si>
  <si>
    <t>chaos-rising-116</t>
  </si>
  <si>
    <t>Pidgeot ex</t>
  </si>
  <si>
    <t>Pidgeotto</t>
  </si>
  <si>
    <t>Pidgey</t>
  </si>
  <si>
    <t>Pidove</t>
  </si>
  <si>
    <t>76ziDoR2YJg</t>
  </si>
  <si>
    <t>Pignite</t>
  </si>
  <si>
    <t>Where is the Mega Darkrai SIR?! 🌒😱</t>
  </si>
  <si>
    <t>Pikachu</t>
  </si>
  <si>
    <t>2026-07-30</t>
  </si>
  <si>
    <t>Pikachu ex</t>
  </si>
  <si>
    <t>Chaos Rising's best art, and still hiding.</t>
  </si>
  <si>
    <t>Pinsir</t>
  </si>
  <si>
    <t>chaos-rising-122</t>
  </si>
  <si>
    <t>Piplup</t>
  </si>
  <si>
    <t>122</t>
  </si>
  <si>
    <t>Plusle</t>
  </si>
  <si>
    <t>Poliwhirl</t>
  </si>
  <si>
    <t>Porygon-Z</t>
  </si>
  <si>
    <t>Powerglass</t>
  </si>
  <si>
    <t>Psychic Energy</t>
  </si>
  <si>
    <t>Psyduck</t>
  </si>
  <si>
    <t>Purrloin</t>
  </si>
  <si>
    <t>Pyroar</t>
  </si>
  <si>
    <t>chaos-rising-119</t>
  </si>
  <si>
    <t>Quaquaval ex</t>
  </si>
  <si>
    <t>Quaxly</t>
  </si>
  <si>
    <t>3pUiN-8XkEk</t>
  </si>
  <si>
    <t>Radiant Blastoise</t>
  </si>
  <si>
    <t>DID WE GET THE ZARD?! 🐉🔥 (Final Pack)</t>
  </si>
  <si>
    <t>2026-07-29</t>
  </si>
  <si>
    <t>Radiant Charizard</t>
  </si>
  <si>
    <t>0:29</t>
  </si>
  <si>
    <t>Raging Bolt ex</t>
  </si>
  <si>
    <t>Raichu</t>
  </si>
  <si>
    <t>chaos-rising-118</t>
  </si>
  <si>
    <t>Ralts</t>
  </si>
  <si>
    <t>Rayquaza VMAX</t>
  </si>
  <si>
    <t>Cetitan ex</t>
  </si>
  <si>
    <t>Relicanth</t>
  </si>
  <si>
    <t>Reshiram ex</t>
  </si>
  <si>
    <t>ex Premium Collection  Phantasmal Flames</t>
  </si>
  <si>
    <t>Reuniclus</t>
  </si>
  <si>
    <t>Rillaboom VMAX</t>
  </si>
  <si>
    <t>Trainer - Dawn - Double Silver Star - Ultra Rare</t>
  </si>
  <si>
    <t>Riolu</t>
  </si>
  <si>
    <t>Rotom</t>
  </si>
  <si>
    <t>Roaring Moon ex</t>
  </si>
  <si>
    <t>chaos-rising-117</t>
  </si>
  <si>
    <t>Rookidee</t>
  </si>
  <si>
    <t>Rosa's Encouragement</t>
  </si>
  <si>
    <t>Rotom ex</t>
  </si>
  <si>
    <t>019sIQP5PwA</t>
  </si>
  <si>
    <t>Roxie's Performance</t>
  </si>
  <si>
    <t>THE STREAK IS BROKEN! 😱 Mega Floette ex</t>
  </si>
  <si>
    <t>2026-07-28</t>
  </si>
  <si>
    <t>Noibat</t>
  </si>
  <si>
    <t>Saguaro</t>
  </si>
  <si>
    <t>0:25</t>
  </si>
  <si>
    <t>Salamence ex</t>
  </si>
  <si>
    <t>Salvatore</t>
  </si>
  <si>
    <t>chaos-rising-120</t>
  </si>
  <si>
    <t>Samurott</t>
  </si>
  <si>
    <t>Sandile</t>
  </si>
  <si>
    <t>Brock's Scouting</t>
  </si>
  <si>
    <t>Sandy Shocks ex</t>
  </si>
  <si>
    <t>Sawk</t>
  </si>
  <si>
    <t>desc: pack 6  ex Premium Collection</t>
  </si>
  <si>
    <t>Sawsbuck</t>
  </si>
  <si>
    <t>Scizor</t>
  </si>
  <si>
    <t>Mega Floette ex - Double Black Star - Double Rare</t>
  </si>
  <si>
    <t>Scolipede</t>
  </si>
  <si>
    <t>chaos-rising-121</t>
  </si>
  <si>
    <t>Scrafty</t>
  </si>
  <si>
    <t>Blaziken ex</t>
  </si>
  <si>
    <t>Scraggy</t>
  </si>
  <si>
    <t>121</t>
  </si>
  <si>
    <t>Scyther</t>
  </si>
  <si>
    <t>Seismitoad</t>
  </si>
  <si>
    <t>3dAQ-PS0fpU</t>
  </si>
  <si>
    <t>Chaos Rising Lived Up To Its Name... 🗑️</t>
  </si>
  <si>
    <t>Serperior ex</t>
  </si>
  <si>
    <t>2026-07-27</t>
  </si>
  <si>
    <t>Servine</t>
  </si>
  <si>
    <t>Scramble Switch</t>
  </si>
  <si>
    <t>Sewaddle</t>
  </si>
  <si>
    <t>Shadow Rider Calyrex V</t>
  </si>
  <si>
    <t>chaos-rising-100</t>
  </si>
  <si>
    <t>Shadow Rider Calyrex VMAX</t>
  </si>
  <si>
    <t>100</t>
  </si>
  <si>
    <t>Shiftry</t>
  </si>
  <si>
    <t>Shinx</t>
  </si>
  <si>
    <t>Sigilyph</t>
  </si>
  <si>
    <t>Cyrano</t>
  </si>
  <si>
    <t>Tin  Chaos Rising</t>
  </si>
  <si>
    <t>Mini Tin</t>
  </si>
  <si>
    <t>Simipour</t>
  </si>
  <si>
    <t>Simisage</t>
  </si>
  <si>
    <t>Simisear</t>
  </si>
  <si>
    <t>perfect-order-124</t>
  </si>
  <si>
    <t>Sinistcha ex</t>
  </si>
  <si>
    <t>124</t>
  </si>
  <si>
    <t>Skeledirge ex</t>
  </si>
  <si>
    <t>Skyla</t>
  </si>
  <si>
    <t>MEP Black Star Promos</t>
  </si>
  <si>
    <t>JfHlnrlX6S0</t>
  </si>
  <si>
    <t>Slakoth</t>
  </si>
  <si>
    <t>023</t>
  </si>
  <si>
    <t>THE CURSE IS BROKEN! 😱 Pitch Black Hit!</t>
  </si>
  <si>
    <t>Slowbro</t>
  </si>
  <si>
    <t>Black Star Promo</t>
  </si>
  <si>
    <t>2026-07-26</t>
  </si>
  <si>
    <t>Slowpoke</t>
  </si>
  <si>
    <t>Snivy</t>
  </si>
  <si>
    <t>perfect-order-121</t>
  </si>
  <si>
    <t>Snom</t>
  </si>
  <si>
    <t>Oricorio ex</t>
  </si>
  <si>
    <t>Snorlax</t>
  </si>
  <si>
    <t>024</t>
  </si>
  <si>
    <t>Solosis</t>
  </si>
  <si>
    <t>Sonia</t>
  </si>
  <si>
    <t>Sprigatito</t>
  </si>
  <si>
    <t>Squawkabilly ex</t>
  </si>
  <si>
    <t>TN7_ZsuRQSI</t>
  </si>
  <si>
    <t>Squirtle</t>
  </si>
  <si>
    <t>Stufful</t>
  </si>
  <si>
    <t>desc: pack 3  Booster Bundle  Pitch Black</t>
  </si>
  <si>
    <t>Starly</t>
  </si>
  <si>
    <t>Steelix</t>
  </si>
  <si>
    <t>Perfect Order's SIR. Pulled everything else in the set except this.</t>
  </si>
  <si>
    <t>Rampardos ex - Double Silver Star - Ultra Rare</t>
  </si>
  <si>
    <t>Steven's Metagross ex</t>
  </si>
  <si>
    <t>perfect-order-120</t>
  </si>
  <si>
    <t>Stoutland</t>
  </si>
  <si>
    <t>Sudowoodo</t>
  </si>
  <si>
    <t>Surfer</t>
  </si>
  <si>
    <t>vTy3MKGN73k</t>
  </si>
  <si>
    <t>Swablu</t>
  </si>
  <si>
    <t>0 Hits Left in the ETB?! 😱</t>
  </si>
  <si>
    <t>2026-07-25</t>
  </si>
  <si>
    <t>Swanna</t>
  </si>
  <si>
    <t>Swoobat</t>
  </si>
  <si>
    <t>perfect-order-119</t>
  </si>
  <si>
    <t>Sylveon ex</t>
  </si>
  <si>
    <t>Tandemaus</t>
  </si>
  <si>
    <t>Tangela</t>
  </si>
  <si>
    <t>Wailord</t>
  </si>
  <si>
    <t>Tapu Koko ex</t>
  </si>
  <si>
    <t>desc: pack 3  Pitch Black</t>
  </si>
  <si>
    <t>Tarountula</t>
  </si>
  <si>
    <t>Tatsugiri</t>
  </si>
  <si>
    <t>Teal Mask Ogerpon ex</t>
  </si>
  <si>
    <t>Team Rocket's Ariana</t>
  </si>
  <si>
    <t>perfect-order-123</t>
  </si>
  <si>
    <t>Team Rocket's Crobat ex</t>
  </si>
  <si>
    <t>Team Rocket's Giovanni</t>
  </si>
  <si>
    <t>123</t>
  </si>
  <si>
    <t>1_ivvCs7Gp4</t>
  </si>
  <si>
    <t>Team Rocket's Houndoom</t>
  </si>
  <si>
    <t>Only Garbage Rips? 😬 | Pitch Black Pack #3</t>
  </si>
  <si>
    <t>2026-07-24</t>
  </si>
  <si>
    <t>Team Rocket's Meowth</t>
  </si>
  <si>
    <t>Team Rocket's Mewtwo ex</t>
  </si>
  <si>
    <t>Team Rocket's Mimikyu</t>
  </si>
  <si>
    <t>Team Rocket's Moltres ex</t>
  </si>
  <si>
    <t>perfect-order-118</t>
  </si>
  <si>
    <t>Team Rocket's Nidoking ex</t>
  </si>
  <si>
    <t>Tepig</t>
  </si>
  <si>
    <t>Terapagos ex</t>
  </si>
  <si>
    <t>title: pack 3  Pitch Black</t>
  </si>
  <si>
    <t>Terrakion</t>
  </si>
  <si>
    <t>Timburr</t>
  </si>
  <si>
    <t>Ting-Lu ex</t>
  </si>
  <si>
    <t>Rampardos ex</t>
  </si>
  <si>
    <t>Tinkatink</t>
  </si>
  <si>
    <t>Tinkaton ex</t>
  </si>
  <si>
    <t>perfect-order-122</t>
  </si>
  <si>
    <t>Tinkatuff</t>
  </si>
  <si>
    <t>Tirtouga</t>
  </si>
  <si>
    <t>R2VxbNMrlXQ</t>
  </si>
  <si>
    <t>Tornadus V</t>
  </si>
  <si>
    <t>I FOUND AN SIR! 💎 (But Not The Zard...)</t>
  </si>
  <si>
    <t>2026-07-23</t>
  </si>
  <si>
    <t>Toxtricity VMAX</t>
  </si>
  <si>
    <t>Bastiodon</t>
  </si>
  <si>
    <t>0:27</t>
  </si>
  <si>
    <t>Tropius</t>
  </si>
  <si>
    <t>Trubbish</t>
  </si>
  <si>
    <t>Tympole</t>
  </si>
  <si>
    <t>perfect-order-094</t>
  </si>
  <si>
    <t>Tynamo</t>
  </si>
  <si>
    <t>Tyranitar</t>
  </si>
  <si>
    <t>094</t>
  </si>
  <si>
    <t>Illustration rare</t>
  </si>
  <si>
    <t>Umbreon ex</t>
  </si>
  <si>
    <t>Mega Skarmory ex</t>
  </si>
  <si>
    <t>Unfezant</t>
  </si>
  <si>
    <t>desc: pack 7  ex Premium Collection  Phantasmal Flames</t>
  </si>
  <si>
    <t>Vanillish</t>
  </si>
  <si>
    <t>Vanillite</t>
  </si>
  <si>
    <t>Trainer - Dawn - Double Gold Star - Special Illustration Rare</t>
  </si>
  <si>
    <t>Vanilluxe</t>
  </si>
  <si>
    <t>Vaporeon ex</t>
  </si>
  <si>
    <t>ascended-heroes-284</t>
  </si>
  <si>
    <t>Veluza</t>
  </si>
  <si>
    <t>Toucannon</t>
  </si>
  <si>
    <t>284</t>
  </si>
  <si>
    <t>Venusaur ex</t>
  </si>
  <si>
    <t>Victini</t>
  </si>
  <si>
    <t>Vileplume</t>
  </si>
  <si>
    <t>m41IeIUpqRI</t>
  </si>
  <si>
    <t>This Mini Tin is GLOWING! ✨ Mega Starmie ex</t>
  </si>
  <si>
    <t>Virizion</t>
  </si>
  <si>
    <t>2026-07-22</t>
  </si>
  <si>
    <t>Volcanion ex</t>
  </si>
  <si>
    <t>Volcarona</t>
  </si>
  <si>
    <t>ascended-heroes-276</t>
  </si>
  <si>
    <t>Vulpix</t>
  </si>
  <si>
    <t>276</t>
  </si>
  <si>
    <t>Walking Wake ex</t>
  </si>
  <si>
    <t>Wally's Compassion</t>
  </si>
  <si>
    <t>Wartortle</t>
  </si>
  <si>
    <t>Tin  Perfect Order</t>
  </si>
  <si>
    <t>Water Energy</t>
  </si>
  <si>
    <t>Wellspring Mask Ogerpon ex</t>
  </si>
  <si>
    <t>Mega Starmie ex - Double Black Star - Double Rare</t>
  </si>
  <si>
    <t>Whimsicott ex</t>
  </si>
  <si>
    <t>ascended-heroes-290</t>
  </si>
  <si>
    <t>Wiglett</t>
  </si>
  <si>
    <t>Wimpod</t>
  </si>
  <si>
    <t>290</t>
  </si>
  <si>
    <t>Wo-Chien ex</t>
  </si>
  <si>
    <t>Woobat</t>
  </si>
  <si>
    <t>LGGJhVyJwDc</t>
  </si>
  <si>
    <t>Yanmega ex</t>
  </si>
  <si>
    <t>Where Did the Hits Go?! 😱 Mega Greninja Box</t>
  </si>
  <si>
    <t>Yveltal</t>
  </si>
  <si>
    <t>Zapdos ex</t>
  </si>
  <si>
    <t>Zebstrika</t>
  </si>
  <si>
    <t>Ascended Heroes chase. Three Feraligatr boxes deep and still nothing.</t>
  </si>
  <si>
    <t>Zekrom ex</t>
  </si>
  <si>
    <t>ascended-heroes-294</t>
  </si>
  <si>
    <t>Zeraora</t>
  </si>
  <si>
    <t>Zeraora V</t>
  </si>
  <si>
    <t>Zoroark</t>
  </si>
  <si>
    <t>desc: pack 5  ex Premium Collection</t>
  </si>
  <si>
    <t>Zorua</t>
  </si>
  <si>
    <t>294</t>
  </si>
  <si>
    <t>Zweilous</t>
  </si>
  <si>
    <t>SQ-_tTDutFA</t>
  </si>
  <si>
    <t>Only Garbage Rips? 😬 | Pitch Black Pack #2</t>
  </si>
  <si>
    <t>2026-07-21</t>
  </si>
  <si>
    <t>ascended-heroes-277</t>
  </si>
  <si>
    <t>q1WTwiauv3w</t>
  </si>
  <si>
    <t>277</t>
  </si>
  <si>
    <t>title: pack 2  Booster Bundle  Pitch Black</t>
  </si>
  <si>
    <t>EtFK6nFW6IQ</t>
  </si>
  <si>
    <t>Mega Excadrill ex</t>
  </si>
  <si>
    <t>ascended-heroes-281</t>
  </si>
  <si>
    <t>281</t>
  </si>
  <si>
    <t>405aRLjbdmM</t>
  </si>
  <si>
    <t>z9fpigSEZ3Y</t>
  </si>
  <si>
    <t>From First Pack Magic to THIS... 🗑️</t>
  </si>
  <si>
    <t>Salazzle ex</t>
  </si>
  <si>
    <t>3dKWTVbCH3I</t>
  </si>
  <si>
    <t>Stunfisk ex</t>
  </si>
  <si>
    <t>ascended-heroes-295</t>
  </si>
  <si>
    <t>295</t>
  </si>
  <si>
    <t>desc: pack 2  Pitch Black</t>
  </si>
  <si>
    <t>hLr5iThoO2k</t>
  </si>
  <si>
    <t>ascended-heroes-280</t>
  </si>
  <si>
    <t>cmV6P3ssh2g</t>
  </si>
  <si>
    <t>280</t>
  </si>
  <si>
    <t>yrfwnJKXRgo</t>
  </si>
  <si>
    <t>The Magic is Officially DEAD 💀 Pitch Black</t>
  </si>
  <si>
    <t>SOCAXif6Mzs</t>
  </si>
  <si>
    <t>Ruffian</t>
  </si>
  <si>
    <t>phantasmal-flames-125</t>
  </si>
  <si>
    <t>125</t>
  </si>
  <si>
    <t>Prq7KI6j1Vk</t>
  </si>
  <si>
    <t>Mismagius ex</t>
  </si>
  <si>
    <t>Booster Bundle  Pitch Black</t>
  </si>
  <si>
    <t>The Charizard. Always the Charizard.</t>
  </si>
  <si>
    <t>phantasmal-flames-130</t>
  </si>
  <si>
    <t>-1fhlQB1okI</t>
  </si>
  <si>
    <t>Incineroar ex</t>
  </si>
  <si>
    <t>130</t>
  </si>
  <si>
    <t>AXOYuKfoBXU</t>
  </si>
  <si>
    <t>92-pjMEGpDI</t>
  </si>
  <si>
    <t>phantasmal-flames-109</t>
  </si>
  <si>
    <t>109</t>
  </si>
  <si>
    <t>m9K7hpyjn04</t>
  </si>
  <si>
    <t>Feebas</t>
  </si>
  <si>
    <t>Perfect Order Luck Ran Out... 🗑️</t>
  </si>
  <si>
    <t>2026-07-20</t>
  </si>
  <si>
    <t>phantasmal-flames-129</t>
  </si>
  <si>
    <t>129</t>
  </si>
  <si>
    <t>EOFAhFwJKqw</t>
  </si>
  <si>
    <t>Tsareena ex</t>
  </si>
  <si>
    <t>desc: pack 6  ex Premium Collection  Phantasmal Flames</t>
  </si>
  <si>
    <t>l6RPdGNs7uE</t>
  </si>
  <si>
    <t>Mega Kangakhan ex</t>
  </si>
  <si>
    <t>2S4poqmGKWE</t>
  </si>
  <si>
    <t>Spearow</t>
  </si>
  <si>
    <t>The Tin Luck Finally Ran Out! ❌</t>
  </si>
  <si>
    <t>2026-07-19</t>
  </si>
  <si>
    <t>phantasmal-flames-127</t>
  </si>
  <si>
    <t>127</t>
  </si>
  <si>
    <t>GTC45Mri_gc</t>
  </si>
  <si>
    <t>Thievul</t>
  </si>
  <si>
    <t>Tin  Twilight Masquerade</t>
  </si>
  <si>
    <t>phantasmal-flames-106</t>
  </si>
  <si>
    <t>106</t>
  </si>
  <si>
    <t>pRkDVGXWufQ</t>
  </si>
  <si>
    <t>Chespin</t>
  </si>
  <si>
    <t>XxYqEIFgWvg</t>
  </si>
  <si>
    <t>The Mega Greninja Streak is DEAD 💀</t>
  </si>
  <si>
    <t>phantasmal-flames-126</t>
  </si>
  <si>
    <t>126</t>
  </si>
  <si>
    <t>X0KK70SjzEM</t>
  </si>
  <si>
    <t>Sacred Ash</t>
  </si>
  <si>
    <t>desc: pack 4  ex Premium Collection  Chaos Rising</t>
  </si>
  <si>
    <t>phantasmal-flames-128</t>
  </si>
  <si>
    <t>128</t>
  </si>
  <si>
    <t>O1hNutypTR8</t>
  </si>
  <si>
    <t>Lumiose City</t>
  </si>
  <si>
    <t>mega-evolution-188</t>
  </si>
  <si>
    <t>I Found First Pack Magic! ✨ Pitch Black ETB</t>
  </si>
  <si>
    <t>RP08BTumj2U</t>
  </si>
  <si>
    <t>2026-07-18</t>
  </si>
  <si>
    <t>Ampharos</t>
  </si>
  <si>
    <t>188</t>
  </si>
  <si>
    <t>nBKJMnw9L2Y</t>
  </si>
  <si>
    <t>mega-evolution-187</t>
  </si>
  <si>
    <t>187</t>
  </si>
  <si>
    <t>desc: pack 1  Pitch Black</t>
  </si>
  <si>
    <t>Mega Chandelure ex - Double Black Star - Double Rare</t>
  </si>
  <si>
    <t>9CpAz0MxnTE</t>
  </si>
  <si>
    <t>Energy Recycler</t>
  </si>
  <si>
    <t>mega-evolution-179</t>
  </si>
  <si>
    <t>179</t>
  </si>
  <si>
    <t>I Can't Stop Hitting! ✨ Pitch Black Booster Bundle</t>
  </si>
  <si>
    <t>gFZ_jiV7DEY</t>
  </si>
  <si>
    <t>Team Rocket's Transceiver</t>
  </si>
  <si>
    <t>Best art in Mega Evolution, and it knows it.</t>
  </si>
  <si>
    <t>mega-evolution-178</t>
  </si>
  <si>
    <t>178</t>
  </si>
  <si>
    <t>u9zpVOVsWyg</t>
  </si>
  <si>
    <t>Scorbunny</t>
  </si>
  <si>
    <t>Mega Excadrill ex - Double Black Star - Double Rare</t>
  </si>
  <si>
    <t>mega-evolution-177</t>
  </si>
  <si>
    <t>x3gI4dEKNMs</t>
  </si>
  <si>
    <t>A Hit is a Hit! 💎 | Mega Zygarde Box #2 Pack #5</t>
  </si>
  <si>
    <t>177</t>
  </si>
  <si>
    <t>Beedrill ex</t>
  </si>
  <si>
    <t>mega-evolution-181</t>
  </si>
  <si>
    <t>181</t>
  </si>
  <si>
    <t>title: #2 pack 5  ex Premium Collection</t>
  </si>
  <si>
    <t>Salazzle ex - Double Black Star - Double Rare</t>
  </si>
  <si>
    <t>Nqu1vGtbAME</t>
  </si>
  <si>
    <t>mega-evolution-184</t>
  </si>
  <si>
    <t>184</t>
  </si>
  <si>
    <t>Thievul IR! 🦊 Pitch Black First Pack Magic!</t>
  </si>
  <si>
    <t>rlJDEb0q1d0</t>
  </si>
  <si>
    <t>mega-evolution-182</t>
  </si>
  <si>
    <t>182</t>
  </si>
  <si>
    <t>M7NqqhR8V4M</t>
  </si>
  <si>
    <t>Rowlet</t>
  </si>
  <si>
    <t>white-flare-172</t>
  </si>
  <si>
    <t>172</t>
  </si>
  <si>
    <t>Black White Rare</t>
  </si>
  <si>
    <t>Thievul - Single Gold Star - Illustration Rare</t>
  </si>
  <si>
    <t>Name</t>
  </si>
  <si>
    <t>The red Victini. Only one Victini in the whole set and it is this one.</t>
  </si>
  <si>
    <t>RtJn1UOi2S8</t>
  </si>
  <si>
    <t>white-flare-173</t>
  </si>
  <si>
    <t>Surging Sparks... or Garbage Rip? ⚡️😬</t>
  </si>
  <si>
    <t>Website</t>
  </si>
  <si>
    <t>2026-07-16</t>
  </si>
  <si>
    <t>173</t>
  </si>
  <si>
    <t>Area</t>
  </si>
  <si>
    <t>Popplio</t>
  </si>
  <si>
    <t>What They Are Good For</t>
  </si>
  <si>
    <t>white-flare-166</t>
  </si>
  <si>
    <t>lrl5v4z317s</t>
  </si>
  <si>
    <t>desc: pack 2  Tin  Twilight Masquerade</t>
  </si>
  <si>
    <t>Blurb</t>
  </si>
  <si>
    <t>Shiinotic</t>
  </si>
  <si>
    <t>Filmed There</t>
  </si>
  <si>
    <t>166</t>
  </si>
  <si>
    <t>Just Games</t>
  </si>
  <si>
    <t>https://www.justgamesrochester.com/category/pokemon/</t>
  </si>
  <si>
    <t>White Flare would not be White Flare without it.</t>
  </si>
  <si>
    <t>EJ0AKqX2a_Q</t>
  </si>
  <si>
    <t>white-flare-105</t>
  </si>
  <si>
    <t>rUOMBBOjrXI</t>
  </si>
  <si>
    <t>The Streak is OVER! 😭 | Mega Greninja Box Pack #3</t>
  </si>
  <si>
    <t>105</t>
  </si>
  <si>
    <t>msETNgFSWD0</t>
  </si>
  <si>
    <t>white-flare-169</t>
  </si>
  <si>
    <t>169</t>
  </si>
  <si>
    <t>title: pack 3  Chaos Rising</t>
  </si>
  <si>
    <t>Panorama Plaza, Penfield</t>
  </si>
  <si>
    <t>xNGxOuMpSiw</t>
  </si>
  <si>
    <t>white-flare-143</t>
  </si>
  <si>
    <t>143</t>
  </si>
  <si>
    <t>BACK-TO-BACK HITS! 😱 | Mega Greninja Box Pack #2</t>
  </si>
  <si>
    <t>2026-07-15</t>
  </si>
  <si>
    <t>Singles, Sealed product, Organized Play, Prereleases</t>
  </si>
  <si>
    <t>Rochester's flagship game store and the one with the busiest Pokemon calendar. Prereleases every set, a learn to play session for anyone starting out, and League Challenges and Cups through the year.</t>
  </si>
  <si>
    <t>white-flare-167</t>
  </si>
  <si>
    <t>167</t>
  </si>
  <si>
    <t>Millennium Games</t>
  </si>
  <si>
    <t>title: pack 2  ex Premium Collection</t>
  </si>
  <si>
    <t>https://shop.millenniumgames.com/collections/pokemon-tcg</t>
  </si>
  <si>
    <t>Jefferson Road, Henrietta</t>
  </si>
  <si>
    <t>Chespin - Single Gold Star - Illustration Rare</t>
  </si>
  <si>
    <t>Sealed product, Singles, In store, Organized Play</t>
  </si>
  <si>
    <t>white-flare-103</t>
  </si>
  <si>
    <t>One of the biggest game stores in the area, with a Pokemon section to match and a sanctioned league of its own.</t>
  </si>
  <si>
    <t>103</t>
  </si>
  <si>
    <t>Punk Helmet</t>
  </si>
  <si>
    <t>LingSter Games</t>
  </si>
  <si>
    <t>https://lingstergames.com/collections/pokemon</t>
  </si>
  <si>
    <t>West Ridge Road, Rochester</t>
  </si>
  <si>
    <t>ANOTHER HIT! 💎 | Mega Zygarde Box #2 Pack #4</t>
  </si>
  <si>
    <t>Sealed product, Singles, New releases</t>
  </si>
  <si>
    <t>Deep Pokemon singles and sealed, and the first stop when a set drops.</t>
  </si>
  <si>
    <t>black-bolt-172</t>
  </si>
  <si>
    <t>EifpW6bQhPE</t>
  </si>
  <si>
    <t>Legacy Games</t>
  </si>
  <si>
    <t>https://legacygamestore.com/</t>
  </si>
  <si>
    <t>Ridge Road, Webster</t>
  </si>
  <si>
    <t>Singles, Buylist, In store</t>
  </si>
  <si>
    <t>The Webster one, and the furthest east of these. They run a separate singles storefront alongside the main site, so you can see which Pokemon singles are actually in the case before you make the drive. They buy cards too.</t>
  </si>
  <si>
    <t>title: #2 pack 4  ex Premium Collection</t>
  </si>
  <si>
    <t>Great Lakes Gaming</t>
  </si>
  <si>
    <t>6bMl7VF_ov0</t>
  </si>
  <si>
    <t>Trainer - Sacred Ash - Double Silver Star - Ultra Rare</t>
  </si>
  <si>
    <t>https://www.glgaminglounges.com/pokemon</t>
  </si>
  <si>
    <t>Dedenne</t>
  </si>
  <si>
    <t>black-bolt-171</t>
  </si>
  <si>
    <t>South Clinton Avenue, downtown</t>
  </si>
  <si>
    <t>171</t>
  </si>
  <si>
    <t>Sealed product, Organized Play, In store</t>
  </si>
  <si>
    <t>Not a shop front. It is a gaming lounge on the 22nd floor of an office tower downtown that sells Pokemon packs, Elite Trainer Boxes and booster boxes at the counter and gives Wednesday night over to Pokemon.</t>
  </si>
  <si>
    <t>STMGjXcUAm4</t>
  </si>
  <si>
    <t>WeTheHobby</t>
  </si>
  <si>
    <t>HHjdWa5tfXY</t>
  </si>
  <si>
    <t>https://www.wethehobby.com/</t>
  </si>
  <si>
    <t>Only Garbage Rips? 😬 | Mega Zygarde Pack #3</t>
  </si>
  <si>
    <t>Xerneas</t>
  </si>
  <si>
    <t>2026-07-14</t>
  </si>
  <si>
    <t>Arlington Street, Neighborhood of the Arts</t>
  </si>
  <si>
    <t>Organized Play, In store</t>
  </si>
  <si>
    <t>Mostly sports cards, and better known for breaking live online than for a Pokemon singles case. The Arlington Street building is a real shop and lounge you can walk into though, and there is a Pokemon league in it every week.</t>
  </si>
  <si>
    <t>black-bolt-166</t>
  </si>
  <si>
    <t>w3dQBhumsug</t>
  </si>
  <si>
    <t>Larry's Dudunsparce ex</t>
  </si>
  <si>
    <t>title: pack 3  ex Premium Collection</t>
  </si>
  <si>
    <t>Add a row per shop. Paste the plain page URL: tracking and session parameters are stripped on build, but a clean link is easier to check.</t>
  </si>
  <si>
    <t>Mhz1-_ppwJA</t>
  </si>
  <si>
    <t>black-bolt-105</t>
  </si>
  <si>
    <t>Krookodile ex</t>
  </si>
  <si>
    <t>FIRST PACK MAGIC! ✨ | Lumiose City Ultra Rare! 🏙️</t>
  </si>
  <si>
    <t>n4iGQVPBtfE</t>
  </si>
  <si>
    <t>An IR that outruns half the ultra rares in the set.</t>
  </si>
  <si>
    <t>black-bolt-165</t>
  </si>
  <si>
    <t>qKiLbaLhdp8</t>
  </si>
  <si>
    <t>165</t>
  </si>
  <si>
    <t>Trainer - Lumiose City - Double Silver Star - Ultra Rare</t>
  </si>
  <si>
    <t>Slurpuff</t>
  </si>
  <si>
    <t>xqV7AYXoVJs</t>
  </si>
  <si>
    <t>Only Garbage Rips? 😬 | Mega Emboar Box #2 FINALE</t>
  </si>
  <si>
    <t>2026-07-13</t>
  </si>
  <si>
    <t>black-bolt-147</t>
  </si>
  <si>
    <t>147</t>
  </si>
  <si>
    <t>QKYrh9l8BYA</t>
  </si>
  <si>
    <t>black-bolt-170</t>
  </si>
  <si>
    <t>title: #2  Collection Box</t>
  </si>
  <si>
    <t>170</t>
  </si>
  <si>
    <t>hOBpKIl2lX4</t>
  </si>
  <si>
    <t>4gBo585VhEI</t>
  </si>
  <si>
    <t>Cobalion ex</t>
  </si>
  <si>
    <t>black-bolt-100</t>
  </si>
  <si>
    <t>FIRST PACK MAGIC! ✨ | Ampharos Illustration Rare!</t>
  </si>
  <si>
    <t>bpm7cSVXNiM</t>
  </si>
  <si>
    <t>desc: pack 1  ex Premium Collection  Chaos Rising</t>
  </si>
  <si>
    <t>Ampharos - Single Gold Star - Illustration Rare</t>
  </si>
  <si>
    <t>destined-rivals-231</t>
  </si>
  <si>
    <t>231</t>
  </si>
  <si>
    <t>Finally! An ex Hit! ⚡ | Mega Emboar Box #2</t>
  </si>
  <si>
    <t>2026-07-12</t>
  </si>
  <si>
    <t>Team Rocket Mewtwo, and the reason those packs keep getting opened.</t>
  </si>
  <si>
    <t>destined-rivals-232</t>
  </si>
  <si>
    <t>232</t>
  </si>
  <si>
    <t>title: #2</t>
  </si>
  <si>
    <t>Mega Scrafty ex - Double Black Star - Double Rare</t>
  </si>
  <si>
    <t>destined-rivals-230</t>
  </si>
  <si>
    <t>Ultra Rare Trainer Pull! 💎 | Mega Zygarde Box #2 Pack #2</t>
  </si>
  <si>
    <t>230</t>
  </si>
  <si>
    <t>destined-rivals-233</t>
  </si>
  <si>
    <t>233</t>
  </si>
  <si>
    <t>title: #2 pack 2  ex Premium Collection</t>
  </si>
  <si>
    <t>Trainer - Energy Recycler - Double Silver Star - Ultra Rare</t>
  </si>
  <si>
    <t>destined-rivals-229</t>
  </si>
  <si>
    <t>229</t>
  </si>
  <si>
    <t>LAST PACK MAGIC! 🚀 | Team Rocket Ultra Rare Pull!</t>
  </si>
  <si>
    <t>2026-07-11</t>
  </si>
  <si>
    <t>destined-rivals-234</t>
  </si>
  <si>
    <t>234</t>
  </si>
  <si>
    <t>desc: #2  Team Rocket</t>
  </si>
  <si>
    <t>Trainer - Team Rocket's Transceiver - Double Silver Star - Ultra Rare</t>
  </si>
  <si>
    <t>destined-rivals-240</t>
  </si>
  <si>
    <t>240</t>
  </si>
  <si>
    <t>Hyper rare</t>
  </si>
  <si>
    <t>DTBxGFtTOc8</t>
  </si>
  <si>
    <t>Only Garbage Rips? 😬 | Mega Zygarde Box #2 Pack #1</t>
  </si>
  <si>
    <t>destined-rivals-193</t>
  </si>
  <si>
    <t>193</t>
  </si>
  <si>
    <t>title: #2 pack 1  ex Premium Collection  Phantasmal Flames</t>
  </si>
  <si>
    <t>journey-together-184</t>
  </si>
  <si>
    <t>uTGe-WswoVY</t>
  </si>
  <si>
    <t>journey-together-187</t>
  </si>
  <si>
    <t>Pokemon Ascended Heroes ⚡ | The Dry Spell Continues...</t>
  </si>
  <si>
    <t>2026-07-10</t>
  </si>
  <si>
    <t>journey-together-185</t>
  </si>
  <si>
    <t>desc: pack 2  Collection Box  Ascended Heroes</t>
  </si>
  <si>
    <t>185</t>
  </si>
  <si>
    <t>xGmQaLcx-c8</t>
  </si>
  <si>
    <t>The Final Verdict: Was this ETB a Dud? 😳</t>
  </si>
  <si>
    <t>journey-together-183</t>
  </si>
  <si>
    <t>183</t>
  </si>
  <si>
    <t>desc: pack 9  Chaos Rising</t>
  </si>
  <si>
    <t>journey-together-186</t>
  </si>
  <si>
    <t>186</t>
  </si>
  <si>
    <t>iV0h672wrGA</t>
  </si>
  <si>
    <t>Only Garbage Rips? 😬 | Chaos Rising ETB #2 Pack #8</t>
  </si>
  <si>
    <t>2026-07-09</t>
  </si>
  <si>
    <t>journey-together-167</t>
  </si>
  <si>
    <t>title: #2 pack 8  Chaos Rising</t>
  </si>
  <si>
    <t>journey-together-161</t>
  </si>
  <si>
    <t>161</t>
  </si>
  <si>
    <t>SCORBUNNY ILLUSTRATION RARE! 🔥 | Mega Meganium Box #2</t>
  </si>
  <si>
    <t>journey-together-182</t>
  </si>
  <si>
    <t>Scorbunny - Single Gold Star - Illustration Rare</t>
  </si>
  <si>
    <t>prismatic-evolutions-161</t>
  </si>
  <si>
    <t>MCe_0kpYnwE</t>
  </si>
  <si>
    <t>Pack #7... Is This ETB a Dud? 😭</t>
  </si>
  <si>
    <t>2026-07-08</t>
  </si>
  <si>
    <t>prismatic-evolutions-156</t>
  </si>
  <si>
    <t>title: pack 7  Chaos Rising</t>
  </si>
  <si>
    <t>156</t>
  </si>
  <si>
    <t>WhfY82RrS4w</t>
  </si>
  <si>
    <t>Pokemon Ascended Heroes ⚡ | Mega Emboar Pack #1 Reality Check</t>
  </si>
  <si>
    <t>prismatic-evolutions-144</t>
  </si>
  <si>
    <t>144</t>
  </si>
  <si>
    <t>prismatic-evolutions-155</t>
  </si>
  <si>
    <t>title: pack 1  Collection Box  Ascended Heroes</t>
  </si>
  <si>
    <t>155</t>
  </si>
  <si>
    <t>Only Garbage Rips? 😬 | Chaos Rising ETB #2 Pack #6</t>
  </si>
  <si>
    <t>2026-07-07</t>
  </si>
  <si>
    <t>prismatic-evolutions-149</t>
  </si>
  <si>
    <t>149</t>
  </si>
  <si>
    <t>title: #2 pack 6  Chaos Rising</t>
  </si>
  <si>
    <t>Beedrill ex - Double Black Star - Double Rare</t>
  </si>
  <si>
    <t>prismatic-evolutions-150</t>
  </si>
  <si>
    <t>150</t>
  </si>
  <si>
    <t>Mega Meganium ex Box #2 🌿🔥 | Pack #2 (WE GOT ONE!)</t>
  </si>
  <si>
    <t>prismatic-evolutions-146</t>
  </si>
  <si>
    <t>146</t>
  </si>
  <si>
    <t>title: #2 pack 2</t>
  </si>
  <si>
    <t>prismatic-evolutions-153</t>
  </si>
  <si>
    <t>153</t>
  </si>
  <si>
    <t>LvWz0hfaQVE</t>
  </si>
  <si>
    <t>The Hit Streak is OVER! 😭 | Chaos Rising ETB #2</t>
  </si>
  <si>
    <t>2026-07-06</t>
  </si>
  <si>
    <t>surging-sparks-238</t>
  </si>
  <si>
    <t>238</t>
  </si>
  <si>
    <t>title: #2  Chaos Rising</t>
  </si>
  <si>
    <t>surging-sparks-239</t>
  </si>
  <si>
    <t>blSCuSk5nb0</t>
  </si>
  <si>
    <t>Mega Meganium Box #2: Where are the hits?! 🌿</t>
  </si>
  <si>
    <t>239</t>
  </si>
  <si>
    <t>title: #2  Ascended Heroes</t>
  </si>
  <si>
    <t>I Pulled This Card AGAIN! 😳 | Chaos Rising ETB #2</t>
  </si>
  <si>
    <t>2026-07-05</t>
  </si>
  <si>
    <t>surging-sparks-237</t>
  </si>
  <si>
    <t>237</t>
  </si>
  <si>
    <t>UpdeUMc-6ys</t>
  </si>
  <si>
    <t>The Poke Ball Tin Luck Finally Ran Out... 😭</t>
  </si>
  <si>
    <t>surging-sparks-247</t>
  </si>
  <si>
    <t>247</t>
  </si>
  <si>
    <t>surging-sparks-236</t>
  </si>
  <si>
    <t>desc: pack 3  Poke Ball Tin  Twilight Masquerade</t>
  </si>
  <si>
    <t>236</t>
  </si>
  <si>
    <t>surging-sparks-240</t>
  </si>
  <si>
    <t>6 BOXES... and STILL No OG Starters?! 😭</t>
  </si>
  <si>
    <t>2026-07-04</t>
  </si>
  <si>
    <t>0:44</t>
  </si>
  <si>
    <t>surging-sparks-203</t>
  </si>
  <si>
    <t>203</t>
  </si>
  <si>
    <t>surging-sparks-242</t>
  </si>
  <si>
    <t>desc: #6  151</t>
  </si>
  <si>
    <t>First Partner Illustration Collection (Series 1)</t>
  </si>
  <si>
    <t>242</t>
  </si>
  <si>
    <t>First Partner Illustration Collection (Series 1) Alola Region Promos : Rowlet, Litten, Popplio</t>
  </si>
  <si>
    <t>First Partner Illustration Collection (Series 1) - 1 Pack , Phantasmal Flames - 1 Pack, Mega Evolution - 1 Pack</t>
  </si>
  <si>
    <t>stellar-crown-148</t>
  </si>
  <si>
    <t>BACK TO BACK HITS! ⚡🔥 | Poke Ball Tin Part 2</t>
  </si>
  <si>
    <t>148</t>
  </si>
  <si>
    <t>stellar-crown-143</t>
  </si>
  <si>
    <t>Poke Ball Tin  Surging Sparks</t>
  </si>
  <si>
    <t>Shiinotic - Single Gold Star - Illustration Rare</t>
  </si>
  <si>
    <t>Are Poke Ball Tins Actually LOADED? 😳</t>
  </si>
  <si>
    <t>2026-07-03</t>
  </si>
  <si>
    <t>stellar-crown-169</t>
  </si>
  <si>
    <t>Poke Ball Tin  Perfect Order</t>
  </si>
  <si>
    <t>stellar-crown-167</t>
  </si>
  <si>
    <t>FINALLY! A Hit in Chaos Rising ETB #2 ⚡🔥</t>
  </si>
  <si>
    <t>stellar-crown-170</t>
  </si>
  <si>
    <t>stellar-crown-168</t>
  </si>
  <si>
    <t>Mega Floette ex - Double Silver Star - Ultra Rare</t>
  </si>
  <si>
    <t>168</t>
  </si>
  <si>
    <t>Wwc1wVyI6CQ</t>
  </si>
  <si>
    <t>Is this ETB actually LOADED? 😳</t>
  </si>
  <si>
    <t>2026-07-02</t>
  </si>
  <si>
    <t>stellar-crown-152</t>
  </si>
  <si>
    <t>152</t>
  </si>
  <si>
    <t>stellar-crown-172</t>
  </si>
  <si>
    <t>My 5th Box... PLEASE Be The OGs! 😭</t>
  </si>
  <si>
    <t>0:46</t>
  </si>
  <si>
    <t>shrouded-fable-78</t>
  </si>
  <si>
    <t>78</t>
  </si>
  <si>
    <t>desc: #5  151</t>
  </si>
  <si>
    <t>shrouded-fable-98</t>
  </si>
  <si>
    <t>First Partner Illustration Collection (Series 1) Alola Region Promos : Rowlet, Litten, Popplio ; Phantasmal Flames - Trainer - Punk Helmet - Double Silver Star - Ultra Rare</t>
  </si>
  <si>
    <t>98</t>
  </si>
  <si>
    <t>CbwSuTI8QKU</t>
  </si>
  <si>
    <t>Pokemon Chaos Rising ETB #2 ⚡🔥 | Pack #1 (First Pack Magic?!)</t>
  </si>
  <si>
    <t>2026-07-01</t>
  </si>
  <si>
    <t>shrouded-fable-66</t>
  </si>
  <si>
    <t>66</t>
  </si>
  <si>
    <t>title: #2 pack 1  Chaos Rising</t>
  </si>
  <si>
    <t>shrouded-fable-68</t>
  </si>
  <si>
    <t>Ec_2Is8DmI8</t>
  </si>
  <si>
    <t>Just ONE Pack to find a HIT... 🎯</t>
  </si>
  <si>
    <t>68</t>
  </si>
  <si>
    <t>shrouded-fable-67</t>
  </si>
  <si>
    <t>desc: pack 11  Chaos Rising</t>
  </si>
  <si>
    <t>67</t>
  </si>
  <si>
    <t>gLlqJvSuAek</t>
  </si>
  <si>
    <t>Perfect Order Pack #10 😳 | Can This Single Pack Hit?!</t>
  </si>
  <si>
    <t>2026-06-30</t>
  </si>
  <si>
    <t>shrouded-fable-94</t>
  </si>
  <si>
    <t>title: pack 10  Booster Bundle  Perfect Order</t>
  </si>
  <si>
    <t>94</t>
  </si>
  <si>
    <t>I14rr28Qduw</t>
  </si>
  <si>
    <t>Pokemon Chaos Rising Pack #10 ⚡ | Is This The One?!</t>
  </si>
  <si>
    <t>shrouded-fable-92</t>
  </si>
  <si>
    <t>92</t>
  </si>
  <si>
    <t>title: pack 10  Booster Bundle  Chaos Rising</t>
  </si>
  <si>
    <t>shrouded-fable-69</t>
  </si>
  <si>
    <t>69</t>
  </si>
  <si>
    <t>NdXTKzUodpQ</t>
  </si>
  <si>
    <t>Only Garbage Rips? 😭 | Perfect Order Pack #9</t>
  </si>
  <si>
    <t>2026-06-29</t>
  </si>
  <si>
    <t>twilight-masquerade-214</t>
  </si>
  <si>
    <t>title: pack 9  Single Booster Pack  Perfect Order</t>
  </si>
  <si>
    <t>214</t>
  </si>
  <si>
    <t>Chaos Rising Pack #9 😳 | Can This Single Pack Hit?!</t>
  </si>
  <si>
    <t>twilight-masquerade-220</t>
  </si>
  <si>
    <t>title: pack 9  Single Booster Pack  Chaos Rising</t>
  </si>
  <si>
    <t>220</t>
  </si>
  <si>
    <t>Mega Dragalge ex - Double Black Star - Double Rare</t>
  </si>
  <si>
    <t>Pokemon Perfect Order Booster Pack #8 ⚡ | One Pack Magic?!</t>
  </si>
  <si>
    <t>2026-06-28</t>
  </si>
  <si>
    <t>twilight-masquerade-188</t>
  </si>
  <si>
    <t>title: pack 8  Single Booster Pack  Perfect Order</t>
  </si>
  <si>
    <t>Dedenne - Single Gold Star - Illustration Rare</t>
  </si>
  <si>
    <t>twilight-masquerade-187</t>
  </si>
  <si>
    <t>Pokemon Chaos Rising Booster Pack #8 ⚡🔥 | One Pack Magic?!</t>
  </si>
  <si>
    <t>twilight-masquerade-217</t>
  </si>
  <si>
    <t>217</t>
  </si>
  <si>
    <t>title: pack 8  Single Booster Pack  Chaos Rising</t>
  </si>
  <si>
    <t>Xerneas - Single Gold Star - Illustration Rare</t>
  </si>
  <si>
    <t>twilight-masquerade-216</t>
  </si>
  <si>
    <t>216</t>
  </si>
  <si>
    <t>JRMvkxmqFhQ</t>
  </si>
  <si>
    <t>Pokemon Perfect Order ⚡🔥 | Pack #7 (Pressure Mode 😬)</t>
  </si>
  <si>
    <t>2026-06-27</t>
  </si>
  <si>
    <t>twilight-masquerade-219</t>
  </si>
  <si>
    <t>title: pack 7  Perfect Order</t>
  </si>
  <si>
    <t>219</t>
  </si>
  <si>
    <t>a4iR-qPthjY</t>
  </si>
  <si>
    <t>Only Garbage Rips? 😭 | Chaos Rising Pack #7</t>
  </si>
  <si>
    <t>twilight-masquerade-210</t>
  </si>
  <si>
    <t>210</t>
  </si>
  <si>
    <t>title: pack 7  Single Booster Pack  Chaos Rising</t>
  </si>
  <si>
    <t>temporal-forces-177</t>
  </si>
  <si>
    <t>cz75wI3fz7k</t>
  </si>
  <si>
    <t>FINAL Chaos Rising ETB Pack ⚡🔥 | Last Pack Magic?! 😳</t>
  </si>
  <si>
    <t>2026-06-26</t>
  </si>
  <si>
    <t>temporal-forces-211</t>
  </si>
  <si>
    <t>211</t>
  </si>
  <si>
    <t>temporal-forces-208</t>
  </si>
  <si>
    <t>208</t>
  </si>
  <si>
    <t>temporal-forces-193</t>
  </si>
  <si>
    <t>czBVJAWDB8U</t>
  </si>
  <si>
    <t>FINAL Mega Emboar ex Box Pack 🔥🐉 | Last Pack Magic?! 😳</t>
  </si>
  <si>
    <t>temporal-forces-166</t>
  </si>
  <si>
    <t>temporal-forces-206</t>
  </si>
  <si>
    <t>206</t>
  </si>
  <si>
    <t>Mega Emboar ex Box 🔥🐉 | Pack #3 (We NEED The Mega Dragonite SIR)</t>
  </si>
  <si>
    <t>2026-06-25</t>
  </si>
  <si>
    <t>temporal-forces-204</t>
  </si>
  <si>
    <t>title: pack 3</t>
  </si>
  <si>
    <t>204</t>
  </si>
  <si>
    <t>Larry's Dudunsparce ex - Double Black Star - Double Rare</t>
  </si>
  <si>
    <t>temporal-forces-205</t>
  </si>
  <si>
    <t>7nGg08wavGM</t>
  </si>
  <si>
    <t>FINAL Mega Feraligatr ex Box Pack 🐉🔥 | Last Pack Magic?! 😳</t>
  </si>
  <si>
    <t>205</t>
  </si>
  <si>
    <t>paldean-fates-232</t>
  </si>
  <si>
    <t>paldean-fates-234</t>
  </si>
  <si>
    <t>na2bRZxxTHU</t>
  </si>
  <si>
    <t>Mega Feraligatr ex Box 🌊🔥 | Pack #3 (We NEED The Dragonite SIR 🐉)</t>
  </si>
  <si>
    <t>2026-06-24</t>
  </si>
  <si>
    <t>paldean-fates-233</t>
  </si>
  <si>
    <t>paldean-fates-131</t>
  </si>
  <si>
    <t>Chaos Rising ETB ⚡🔥 | Pack #8 (Only One Pack Left 😳)</t>
  </si>
  <si>
    <t>131</t>
  </si>
  <si>
    <t>Shiny rare</t>
  </si>
  <si>
    <t>paldean-fates-202</t>
  </si>
  <si>
    <t>title: pack 8  Chaos Rising</t>
  </si>
  <si>
    <t>202</t>
  </si>
  <si>
    <t>Krookodile ex - Double Black Star - Double Rare</t>
  </si>
  <si>
    <t>paldean-fates-109</t>
  </si>
  <si>
    <t>dqC9lAiWeaE</t>
  </si>
  <si>
    <t>Chaos Rising ETB ⚡🔥 | Pack #7 (PRESSURE MODE 😬)</t>
  </si>
  <si>
    <t>2026-06-23</t>
  </si>
  <si>
    <t>paldean-fates-160</t>
  </si>
  <si>
    <t>160</t>
  </si>
  <si>
    <t>Only Garbage Rips? 😬 | Mega Emboar ex Pack #2</t>
  </si>
  <si>
    <t>paldean-fates-201</t>
  </si>
  <si>
    <t>201</t>
  </si>
  <si>
    <t>title: pack 2</t>
  </si>
  <si>
    <t>paradox-rift-199</t>
  </si>
  <si>
    <t>199</t>
  </si>
  <si>
    <t>r4WG2IWWyKc</t>
  </si>
  <si>
    <t>Mega Emboar ex Box 🔥🐉 | Pack #1 (First Pack Magic AGAIN?!)</t>
  </si>
  <si>
    <t>2026-06-22</t>
  </si>
  <si>
    <t>paradox-rift-253</t>
  </si>
  <si>
    <t>253</t>
  </si>
  <si>
    <t>title: pack 1  Ascended Heroes</t>
  </si>
  <si>
    <t>paradox-rift-206</t>
  </si>
  <si>
    <t>zhE5GzB2Dns</t>
  </si>
  <si>
    <t>Mega Feraligatr ex Box 🌊🔥 | Pack #2 (Back-To-Back Hits?!)</t>
  </si>
  <si>
    <t>paradox-rift-193</t>
  </si>
  <si>
    <t>Mega Feraligatr ex Box 🌊🔥 | Pack #1 (First Pack Magic?!)</t>
  </si>
  <si>
    <t>2026-06-21</t>
  </si>
  <si>
    <t>paradox-rift-194</t>
  </si>
  <si>
    <t>194</t>
  </si>
  <si>
    <t>paradox-rift-208</t>
  </si>
  <si>
    <t>Slurpuff - Single Gold Star - Illustration Rare</t>
  </si>
  <si>
    <t>Chaos Rising ETB ⚡🔥 | Pack #6 (We NEED A Hit 😬)</t>
  </si>
  <si>
    <t>paradox-rift-251</t>
  </si>
  <si>
    <t>251</t>
  </si>
  <si>
    <t>paradox-rift-245</t>
  </si>
  <si>
    <t>245</t>
  </si>
  <si>
    <t>title: pack 6  Chaos Rising</t>
  </si>
  <si>
    <t>151-199</t>
  </si>
  <si>
    <t>Mega Greninja ex - Double Black Star - Double Rare</t>
  </si>
  <si>
    <t>_Bu9zCfLI4c</t>
  </si>
  <si>
    <t>FINAL Mega Meganium ex Box Pack 🌿🔥 | Last Pack Magic?! 😳</t>
  </si>
  <si>
    <t>2026-06-20</t>
  </si>
  <si>
    <t>151-200</t>
  </si>
  <si>
    <t>200</t>
  </si>
  <si>
    <t>151-198</t>
  </si>
  <si>
    <t>vqp2qrq1hls</t>
  </si>
  <si>
    <t>Only Garbage Rips? 😬 | Chaos Rising ETB Pack #5</t>
  </si>
  <si>
    <t>198</t>
  </si>
  <si>
    <t>title: pack 5  Chaos Rising</t>
  </si>
  <si>
    <t>151-202</t>
  </si>
  <si>
    <t>Mega Meganium ex Box 🌿🔥 | Pack #3 (We NEED A Hit 😬)</t>
  </si>
  <si>
    <t>2026-06-19</t>
  </si>
  <si>
    <t>151-168</t>
  </si>
  <si>
    <t>Mega Hawlucha ex - Double Black Star - Double Rare</t>
  </si>
  <si>
    <t>Chaos Rising ETB ⚡🔥 | Pack #4 (Heating Up?!) 😳</t>
  </si>
  <si>
    <t>151-173</t>
  </si>
  <si>
    <t>title: pack 4  Chaos Rising</t>
  </si>
  <si>
    <t>Cobalion ex - Double Black Star - Double Rare</t>
  </si>
  <si>
    <t>151-170</t>
  </si>
  <si>
    <t>9DPytuABTf8</t>
  </si>
  <si>
    <t>Only Garbage Rips? 😭 | Mega Meganium ex Pack #2</t>
  </si>
  <si>
    <t>2026-06-18</t>
  </si>
  <si>
    <t>151-166</t>
  </si>
  <si>
    <t>goGNPoBWQ-g</t>
  </si>
  <si>
    <t>Chaos Rising ETB Pack #3 😳 | Is This ETB LOADED?!</t>
  </si>
  <si>
    <t>obsidian-flames-223</t>
  </si>
  <si>
    <t>223</t>
  </si>
  <si>
    <t>Fgj5afnnXVk</t>
  </si>
  <si>
    <t>Mega Meganium ex Box 🌿🔥 | Pack #1 (First Pack Magic?!)</t>
  </si>
  <si>
    <t>2026-06-17</t>
  </si>
  <si>
    <t>obsidian-flames-199</t>
  </si>
  <si>
    <t>obsidian-flames-202</t>
  </si>
  <si>
    <t>u7xNNfIBEjg</t>
  </si>
  <si>
    <t>Chaos Rising ETB ⚡🔥 | Pack #2 (Back-To-Back Hits?!)</t>
  </si>
  <si>
    <t>title: pack 2  Chaos Rising</t>
  </si>
  <si>
    <t>obsidian-flames-228</t>
  </si>
  <si>
    <t>228</t>
  </si>
  <si>
    <t>Pokemon Chaos Rising ETB ⚡🔥 | Pack #1 (First Pack Magic?!)</t>
  </si>
  <si>
    <t>2026-06-16</t>
  </si>
  <si>
    <t>obsidian-flames-198</t>
  </si>
  <si>
    <t>title: pack 1  Chaos Rising</t>
  </si>
  <si>
    <t>urvau7lIwC0</t>
  </si>
  <si>
    <t>obsidian-flames-215</t>
  </si>
  <si>
    <t>FINAL Mega Zygarde Collection Pack 🔥 | Zard SIR?! Last Pack Magic?! 😳</t>
  </si>
  <si>
    <t>215</t>
  </si>
  <si>
    <t>obsidian-flames-225</t>
  </si>
  <si>
    <t>225</t>
  </si>
  <si>
    <t>tuX1t8p29Ik</t>
  </si>
  <si>
    <t>LAST Japanese Abyss Eye Packs 👁️🔥 | SR Or Better?! 😳</t>
  </si>
  <si>
    <t>2026-06-15</t>
  </si>
  <si>
    <t>desc: pack 9</t>
  </si>
  <si>
    <t>Japanese Single Booster Pack</t>
  </si>
  <si>
    <t>obsidian-flames-205</t>
  </si>
  <si>
    <t xml:space="preserve">Abyss Eye - 2 Packs </t>
  </si>
  <si>
    <t>HGlF3-fpycc</t>
  </si>
  <si>
    <t>First Phantasmal Flames🔥Pack in the Mega Zygarde Collection Pack #7</t>
  </si>
  <si>
    <t>paldea-evolved-203</t>
  </si>
  <si>
    <t>title: pack 7  ex Premium Collection  Phantasmal Flames</t>
  </si>
  <si>
    <t xml:space="preserve">No </t>
  </si>
  <si>
    <t>R4TUGTf0Eb4</t>
  </si>
  <si>
    <t>FINAL Chaos Rising Booster Bundle #2 Pack ⚡🔥 | Last Pack Magic?! 😳</t>
  </si>
  <si>
    <t>2026-06-14</t>
  </si>
  <si>
    <t>0:17</t>
  </si>
  <si>
    <t>paldea-evolved-211</t>
  </si>
  <si>
    <t>title: #2  Booster Bundle  Chaos Rising</t>
  </si>
  <si>
    <t>sS0fvyss7IM</t>
  </si>
  <si>
    <t>FINAL Perfect Order Pack?! 😳 | Mega Zygarde Collection Pack #6</t>
  </si>
  <si>
    <t>paldea-evolved-226</t>
  </si>
  <si>
    <t>226</t>
  </si>
  <si>
    <t>title: pack 6  ex Premium Collection  Phantasmal Flames</t>
  </si>
  <si>
    <t xml:space="preserve">Mega Clefable ex - Double Black Star - Double Rare </t>
  </si>
  <si>
    <t>_3gRDHTv1lQ</t>
  </si>
  <si>
    <t>Mega Zygarde ex Premium Collection ⚡🔥 | Pack #5 (We NEED A Hit 😬)</t>
  </si>
  <si>
    <t>2026-06-13</t>
  </si>
  <si>
    <t>paldea-evolved-222</t>
  </si>
  <si>
    <t>222</t>
  </si>
  <si>
    <t>title: pack 5  ex Premium Collection</t>
  </si>
  <si>
    <t xml:space="preserve">Mega Skarmory ex - Double Black Star - Double Rare </t>
  </si>
  <si>
    <t xml:space="preserve">Perfect Order </t>
  </si>
  <si>
    <t>paldea-evolved-196</t>
  </si>
  <si>
    <t>XjM6y2L7v1c</t>
  </si>
  <si>
    <t>Japanese Abyss Eye 👁️🔥 | Packs #7 &amp; #8 (Back-To-Back Hits?!) 😳</t>
  </si>
  <si>
    <t>196</t>
  </si>
  <si>
    <t>desc: pack 7</t>
  </si>
  <si>
    <t xml:space="preserve">Goldeen - AR - Art Rare </t>
  </si>
  <si>
    <t>paldea-evolved-269</t>
  </si>
  <si>
    <t>0vpWimyqJIE</t>
  </si>
  <si>
    <t>Japanese Abyss Eye 👁️🔥 | Packs #5 &amp; #6 (We NEED A Hit 😭)</t>
  </si>
  <si>
    <t>2026-06-12</t>
  </si>
  <si>
    <t>269</t>
  </si>
  <si>
    <t>0:26</t>
  </si>
  <si>
    <t>desc: pack 5</t>
  </si>
  <si>
    <t xml:space="preserve">Manectric - AR - Art Rare </t>
  </si>
  <si>
    <t>paldea-evolved-262</t>
  </si>
  <si>
    <t>udV4EBssAj0</t>
  </si>
  <si>
    <t>Chaos Rising Booster Bundle #2 ⚡🔥 | Pack #5 (PLEASE Save This Bundle 😬)</t>
  </si>
  <si>
    <t>262</t>
  </si>
  <si>
    <t>title: #2 pack 5  Booster Bundle  Chaos Rising</t>
  </si>
  <si>
    <t xml:space="preserve">Mega Greninja ex - Double Silver Star - Ultra Rare </t>
  </si>
  <si>
    <t>xCDigA8yq1Y</t>
  </si>
  <si>
    <t>paldea-evolved-201</t>
  </si>
  <si>
    <t>Chaos Rising Booster Bundle #2 ⚡🔥 | Pack #4 (Luck Running Out?!) 😳</t>
  </si>
  <si>
    <t>2026-06-11</t>
  </si>
  <si>
    <t>title: #2 pack 4  Booster Bundle  Chaos Rising</t>
  </si>
  <si>
    <t>lcxUwIjlqZY</t>
  </si>
  <si>
    <t>scarlet-violet-245</t>
  </si>
  <si>
    <t>Mega Zygarde ex Premium Collection ⚡🔥 | Pack #4 (We NEED A Hit 😬)</t>
  </si>
  <si>
    <t>title: pack 4  ex Premium Collection</t>
  </si>
  <si>
    <t xml:space="preserve">Meowth ex - Double Black Star - Double Rare </t>
  </si>
  <si>
    <t>scarlet-violet-210</t>
  </si>
  <si>
    <t>0pRHwsEwo3g</t>
  </si>
  <si>
    <t>Mega Zygarde ex Premium Collection ⚡🔥 | Pack #3 (Getting Lucky?!)</t>
  </si>
  <si>
    <t>2026-06-10</t>
  </si>
  <si>
    <t>scarlet-violet-211</t>
  </si>
  <si>
    <t>EKTgIGCiET4</t>
  </si>
  <si>
    <t>Japanese Abyss Eye 👁️🔥 | Packs #3 &amp; #4 (STILL No Hits?!) 😭</t>
  </si>
  <si>
    <t>scarlet-violet-212</t>
  </si>
  <si>
    <t>212</t>
  </si>
  <si>
    <t>desc: pack 3</t>
  </si>
  <si>
    <t>-eQ-tG_cj_0</t>
  </si>
  <si>
    <t>Only Garbage Rips? 😬 | Japanese Abyss Eye Packs</t>
  </si>
  <si>
    <t>2026-06-09</t>
  </si>
  <si>
    <t>scarlet-violet-204</t>
  </si>
  <si>
    <t>desc: pack 1</t>
  </si>
  <si>
    <t>-5rVYfdxRJw</t>
  </si>
  <si>
    <t>Only Garbage Rips? 😬 | Chaos Rising Bundle #2 Pack #3</t>
  </si>
  <si>
    <t>scarlet-violet-215</t>
  </si>
  <si>
    <t>title: #2 pack 3  Booster Bundle  Chaos Rising</t>
  </si>
  <si>
    <t>scarlet-violet-244</t>
  </si>
  <si>
    <t>1Kd_E966_4k</t>
  </si>
  <si>
    <t>244</t>
  </si>
  <si>
    <t>Chaos Rising Booster Bundle #2 ⚡🔥 | Pack #2 (Back-To-Back Hits?!)</t>
  </si>
  <si>
    <t>2026-06-08</t>
  </si>
  <si>
    <t>title: #2 pack 2  Booster Bundle  Chaos Rising</t>
  </si>
  <si>
    <t>scarlet-violet-213</t>
  </si>
  <si>
    <t>213</t>
  </si>
  <si>
    <t>RLYq43B1KX0</t>
  </si>
  <si>
    <t>Mega Zygarde ex Premium Collection ⚡🔥 | Pack #2 (Back-To-Back Hits?!)</t>
  </si>
  <si>
    <t>crown-zenith-160</t>
  </si>
  <si>
    <t>Secret Rare</t>
  </si>
  <si>
    <t>BiBdyozoD_Q</t>
  </si>
  <si>
    <t>Chaos Rising Booster Bundle #2 ⚡🔥 | Pack #1 (First Pack Magic?!)</t>
  </si>
  <si>
    <t>2026-06-07</t>
  </si>
  <si>
    <t>crown-zenith-147</t>
  </si>
  <si>
    <t>title: #2 pack 1  Booster Bundle  Chaos Rising</t>
  </si>
  <si>
    <t xml:space="preserve">Mega Pyroar ex - Double Black Star - Double Rare </t>
  </si>
  <si>
    <t>POLXPV2ZpXA</t>
  </si>
  <si>
    <t>Mega Zygarde ex Premium Collection ⚡🔥 | Pack #1 (First Pack Magic?!)</t>
  </si>
  <si>
    <t>crown-zenith-102</t>
  </si>
  <si>
    <t>102</t>
  </si>
  <si>
    <t>title: pack 1  ex Premium Collection</t>
  </si>
  <si>
    <t>crown-zenith-20</t>
  </si>
  <si>
    <t>7qgnakc3__c</t>
  </si>
  <si>
    <t>Perfect Order Booster Bundle #2 ⚡ | Pack #5 (PLEASE Save This Bundle 😬)</t>
  </si>
  <si>
    <t>2026-06-06</t>
  </si>
  <si>
    <t>Radiant Rare</t>
  </si>
  <si>
    <t>title: #2 pack 5  Booster Bundle  Perfect Order</t>
  </si>
  <si>
    <t>crown-zenith-101</t>
  </si>
  <si>
    <t>101</t>
  </si>
  <si>
    <t>Holo Rare VMAX</t>
  </si>
  <si>
    <t>l_vpvsLXG50</t>
  </si>
  <si>
    <t>FINAL Perfect Order Booster Bundle #2 Pack ⚡🔥 | Last Pack Magic?! 😳</t>
  </si>
  <si>
    <t>crown-zenith-109</t>
  </si>
  <si>
    <t>title: #2  Booster Bundle  Perfect Order</t>
  </si>
  <si>
    <t xml:space="preserve">Doublade - Single Gold Star - Illustration Rare </t>
  </si>
  <si>
    <t>23RED_g8uOE</t>
  </si>
  <si>
    <t>FINAL Chaos Rising Booster Bundle Pack ⚡🔥 | Last Pack Magic?! 😳</t>
  </si>
  <si>
    <t>2026-06-05</t>
  </si>
  <si>
    <t>crown-zenith-19</t>
  </si>
  <si>
    <t>Charizard VSTAR</t>
  </si>
  <si>
    <t>Holo Rare VSTAR</t>
  </si>
  <si>
    <t>Booster Bundle  Chaos Rising</t>
  </si>
  <si>
    <t>crown-zenith-108</t>
  </si>
  <si>
    <t>qUzKnP4zmjM</t>
  </si>
  <si>
    <t>Perfect Order Booster Bundle #2 ⚡ | Pack #4 (We NEED A Hit 😬)</t>
  </si>
  <si>
    <t>Eevee V</t>
  </si>
  <si>
    <t>108</t>
  </si>
  <si>
    <t>Holo Rare V</t>
  </si>
  <si>
    <t>title: #2 pack 4  Booster Bundle  Perfect Order</t>
  </si>
  <si>
    <t>pokemon-go-72</t>
  </si>
  <si>
    <t xml:space="preserve">Decidueye ex - Double Silver Star - Ultra Rare </t>
  </si>
  <si>
    <t>72</t>
  </si>
  <si>
    <t>vW8lkXEx3Ao</t>
  </si>
  <si>
    <t>FINAL Ascended Heroes Bundle #2 Pack ⚡ | Last Pack Magic?! 😳</t>
  </si>
  <si>
    <t>2026-06-04</t>
  </si>
  <si>
    <t>pokemon-go-79</t>
  </si>
  <si>
    <t>79</t>
  </si>
  <si>
    <t>title: #2  Booster Bundle  Ascended Heroes</t>
  </si>
  <si>
    <t xml:space="preserve">Iono's Bellibolt ex - Double Black Star - Double Rare </t>
  </si>
  <si>
    <t>16GEn7wSyuk</t>
  </si>
  <si>
    <t>Chaos Rising Booster Bundle ⚡🔥 | Pack #5 (We NEED A Hit 😬)</t>
  </si>
  <si>
    <t>pokemon-go-81</t>
  </si>
  <si>
    <t>81</t>
  </si>
  <si>
    <t>title: pack 5  Booster Bundle  Chaos Rising</t>
  </si>
  <si>
    <t>pokemon-go-86</t>
  </si>
  <si>
    <t>86</t>
  </si>
  <si>
    <t>i_YeXB489EY</t>
  </si>
  <si>
    <t>Chaos Rising Booster Bundle ⚡🔥 | Pack #4 (Is The Luck Running Out? 😳)</t>
  </si>
  <si>
    <t>2026-06-03</t>
  </si>
  <si>
    <t>pokemon-go-11</t>
  </si>
  <si>
    <t>title: pack 4  Booster Bundle  Chaos Rising</t>
  </si>
  <si>
    <t>wtUPdMnZ_S8</t>
  </si>
  <si>
    <t>Perfect Order Booster Bundle #2 ⚡ | Pack #3 (Getting Lucky?!)</t>
  </si>
  <si>
    <t>pokemon-go-76</t>
  </si>
  <si>
    <t>76</t>
  </si>
  <si>
    <t>title: #2 pack 3  Booster Bundle  Perfect Order</t>
  </si>
  <si>
    <t xml:space="preserve">Yes </t>
  </si>
  <si>
    <t>Decidueye ex - Double Black Star - Double Rare</t>
  </si>
  <si>
    <t>pokemon-go-18</t>
  </si>
  <si>
    <t>Y6rNMk6_kFs</t>
  </si>
  <si>
    <t>Only Garbage Rips? 😬 | Perfect Order Bundle #2 Pack #2</t>
  </si>
  <si>
    <t>2026-06-02</t>
  </si>
  <si>
    <t>title: #2 pack 2  Booster Bundle  Perfect Order</t>
  </si>
  <si>
    <t xml:space="preserve">Mega Zygarde ex - Double Black Star - Double Rare </t>
  </si>
  <si>
    <t>pokemon-go-80</t>
  </si>
  <si>
    <t>80</t>
  </si>
  <si>
    <t>iPxD2pp1zHo</t>
  </si>
  <si>
    <t>Ascended Heroes Booster Bundle #2 ⚡ | Pack #5 (We NEED A Hit 😬)</t>
  </si>
  <si>
    <t>celebrations-25</t>
  </si>
  <si>
    <t>title: #2 pack 5  Booster Bundle  Ascended Heroes</t>
  </si>
  <si>
    <t>jAkffPVM-JA</t>
  </si>
  <si>
    <t>Ascended Heroes Booster Bundle #2 ⚡ | Pack #4 (We NEED A Hit 😬)</t>
  </si>
  <si>
    <t>2026-06-01</t>
  </si>
  <si>
    <t>celebrations-9</t>
  </si>
  <si>
    <t>Surfing Pikachu VMAX</t>
  </si>
  <si>
    <t>title: #2 pack 4  Booster Bundle  Ascended Heroes</t>
  </si>
  <si>
    <t xml:space="preserve">Mega Eelektross ex - Double Black Star - Double Rare </t>
  </si>
  <si>
    <t>celebrations-7</t>
  </si>
  <si>
    <t>c-5u5X8BT_Y</t>
  </si>
  <si>
    <t>Only Garbage Rips? 😬 | Chaos Rising Bundle Pack #3</t>
  </si>
  <si>
    <t>Flying Pikachu VMAX</t>
  </si>
  <si>
    <t>title: pack 3  Booster Bundle  Chaos Rising</t>
  </si>
  <si>
    <t xml:space="preserve">Beedrill ex - Double Black Star - Double Rare </t>
  </si>
  <si>
    <t>celebrations-5</t>
  </si>
  <si>
    <t>JPzh3KWw084</t>
  </si>
  <si>
    <t>Perfect Order Booster Bundle #2 ⚡ | Pack #1 (First Pack Magic?!)</t>
  </si>
  <si>
    <t>2026-05-31</t>
  </si>
  <si>
    <t>Holo Rare</t>
  </si>
  <si>
    <t>title: #2 pack 1  Booster Bundle  Perfect Order</t>
  </si>
  <si>
    <t>celebrations-8</t>
  </si>
  <si>
    <t>Surfing Pikachu V</t>
  </si>
  <si>
    <t>xJyZLladJ0Q</t>
  </si>
  <si>
    <t>Only Garbage Rips? 😬 | Chaos Rising Bundle Pack #2</t>
  </si>
  <si>
    <t>0:16</t>
  </si>
  <si>
    <t>celebrations-6</t>
  </si>
  <si>
    <t>Flying Pikachu V</t>
  </si>
  <si>
    <t>title: pack 2  Booster Bundle  Chaos Rising</t>
  </si>
  <si>
    <t>APS_RnpORC8</t>
  </si>
  <si>
    <t>Chaos Rising Booster Bundle ⚡🔥 | Pack #1 (First Pack Magic Again?!)</t>
  </si>
  <si>
    <t>celebrations-11</t>
  </si>
  <si>
    <t>2026-05-30</t>
  </si>
  <si>
    <t>title: pack 1  Booster Bundle  Chaos Rising</t>
  </si>
  <si>
    <t>celebrations-24</t>
  </si>
  <si>
    <t>Professor's Research (Professor Oak)</t>
  </si>
  <si>
    <t>kcmXPW6_Odo</t>
  </si>
  <si>
    <t>Only Garbage Rips? 😬 | Ascended Heroes Bundle #2 Pack #3</t>
  </si>
  <si>
    <t>title: #2 pack 3  Booster Bundle  Ascended Heroes</t>
  </si>
  <si>
    <t>chilling-reign-201</t>
  </si>
  <si>
    <t>xrJFDqGZjOs</t>
  </si>
  <si>
    <t>Only Garbage Rips? 😬 | Ascended Heroes Bundle #2 Pack #2</t>
  </si>
  <si>
    <t>2026-05-29</t>
  </si>
  <si>
    <t>chilling-reign-177</t>
  </si>
  <si>
    <t>title: #2 pack 2  Booster Bundle  Ascended Heroes</t>
  </si>
  <si>
    <t>CT5t8mKeZUw</t>
  </si>
  <si>
    <t>FINAL Prismatic Evolutions ETB Pack ✨ | Last Pack Magic?! 😳</t>
  </si>
  <si>
    <t>chilling-reign-224</t>
  </si>
  <si>
    <t>224</t>
  </si>
  <si>
    <t>chilling-reign-179</t>
  </si>
  <si>
    <t>W2eIV9tya84</t>
  </si>
  <si>
    <t>Ascended Heroes Booster Bundle #2 ⚡ | Pack #1 (First Pack Magic?!)</t>
  </si>
  <si>
    <t>2026-05-28</t>
  </si>
  <si>
    <t>title: #2 pack 1  Booster Bundle  Ascended Heroes</t>
  </si>
  <si>
    <t>chilling-reign-166</t>
  </si>
  <si>
    <t xml:space="preserve">Vikavolt - Single Gold Star - Illustration Rare </t>
  </si>
  <si>
    <t>2wZwMWDlxP0</t>
  </si>
  <si>
    <t>Only Garbage Rips? 😬 | Prismatic ETB Pack #8</t>
  </si>
  <si>
    <t>chilling-reign-168</t>
  </si>
  <si>
    <t>title: pack 8  Prismatic Evolutions</t>
  </si>
  <si>
    <t>hbUa4l-xono</t>
  </si>
  <si>
    <t>Destined Rivals Pack #12 ⚡ | Can We TOP The Mewtwo?! 😳</t>
  </si>
  <si>
    <t>2026-05-27</t>
  </si>
  <si>
    <t>chilling-reign-170</t>
  </si>
  <si>
    <t>title: pack 12  Destined Rivals</t>
  </si>
  <si>
    <t>Team Rocket's Raticate - Single Gold Star - Illustration Rare</t>
  </si>
  <si>
    <t>chilling-reign-205</t>
  </si>
  <si>
    <t>Q26NJsmeVko</t>
  </si>
  <si>
    <t>Prismatic Evolutions ETB ✨ | Pack #7 (Running Out Of Chances 😳)</t>
  </si>
  <si>
    <t>title: pack 7  Prismatic Evolutions</t>
  </si>
  <si>
    <t>shining-fates-72</t>
  </si>
  <si>
    <t xml:space="preserve">Tyranitar ex - Double Black Star - Double Rare </t>
  </si>
  <si>
    <t>c7J6-dTu4jo</t>
  </si>
  <si>
    <t>Prismatic Evolutions ETB ✨ | Pack #6 (STILL No Umbreon 😳)</t>
  </si>
  <si>
    <t>2026-05-26</t>
  </si>
  <si>
    <t>shining-fates-70</t>
  </si>
  <si>
    <t>Poké Kid</t>
  </si>
  <si>
    <t>70</t>
  </si>
  <si>
    <t>title: pack 6  Prismatic Evolutions</t>
  </si>
  <si>
    <t>dFIdg1ZRxDM</t>
  </si>
  <si>
    <t>FINAL Perfect Order ETB Pack ⚡ | Last Pack Magic?! 😳</t>
  </si>
  <si>
    <t>shining-fates-64</t>
  </si>
  <si>
    <t>Alcremie V</t>
  </si>
  <si>
    <t>64</t>
  </si>
  <si>
    <t>CP7sMGF3p3M</t>
  </si>
  <si>
    <t>shining-fates-51</t>
  </si>
  <si>
    <t>FINAL Journey Together Bundle #2 Pack ⚡ | Last Pack Magic?! 😳</t>
  </si>
  <si>
    <t>2026-05-25</t>
  </si>
  <si>
    <t>Ditto VMAX</t>
  </si>
  <si>
    <t>51</t>
  </si>
  <si>
    <t>title: #2  Booster Bundle  Journey Together</t>
  </si>
  <si>
    <t xml:space="preserve">Trainer - Brock's Scouting - Double Silver Star - Ultra Rare </t>
  </si>
  <si>
    <t xml:space="preserve">Journey Together </t>
  </si>
  <si>
    <t>shining-fates-73</t>
  </si>
  <si>
    <t>Alcremie VMAX</t>
  </si>
  <si>
    <t>25YT9cNRpqk</t>
  </si>
  <si>
    <t>73</t>
  </si>
  <si>
    <t>Only Garbage Rips? 😬 | Destined Rivals Pack #11</t>
  </si>
  <si>
    <t>title: pack 11  Destined Rivals</t>
  </si>
  <si>
    <t>shining-fates-65</t>
  </si>
  <si>
    <t>Ball Guy</t>
  </si>
  <si>
    <t>Ethan's Ho-Oh ex - Double Silver Star - Ultra Rare</t>
  </si>
  <si>
    <t>65</t>
  </si>
  <si>
    <t>e6vbNj4YRJI</t>
  </si>
  <si>
    <t>Chaos Rising Pack #5 ⚡🔥 | Can We BREAK The Cold Streak?! 😳</t>
  </si>
  <si>
    <t>2026-05-24</t>
  </si>
  <si>
    <t>shining-fates-21</t>
  </si>
  <si>
    <t>Kyogre</t>
  </si>
  <si>
    <t>Amazing Rare</t>
  </si>
  <si>
    <t>shining-fates-38</t>
  </si>
  <si>
    <t>HS0sPhhG3jo</t>
  </si>
  <si>
    <t>Only Garbage Rips? 😬 | Chaos Rising Pack #6</t>
  </si>
  <si>
    <t>Morpeko VMAX</t>
  </si>
  <si>
    <t>38</t>
  </si>
  <si>
    <t>rebel-clash-189</t>
  </si>
  <si>
    <t>189</t>
  </si>
  <si>
    <t>-jstsp3DQNI</t>
  </si>
  <si>
    <t>Chaos Rising Pack #3 ⚡🔥 | 3 HITS IN A ROW?! 😳</t>
  </si>
  <si>
    <t>2026-05-23</t>
  </si>
  <si>
    <t>rebel-clash-200</t>
  </si>
  <si>
    <t>cdvEaKdmjeU</t>
  </si>
  <si>
    <t>Chaos Rising Pack #4 ⚡🔥 | Is The Bad Luck Curse Starting?! 😳</t>
  </si>
  <si>
    <t>rebel-clash-177</t>
  </si>
  <si>
    <t>0:15</t>
  </si>
  <si>
    <t>rebel-clash-197</t>
  </si>
  <si>
    <t>197</t>
  </si>
  <si>
    <t>h1vqc-37k_8</t>
  </si>
  <si>
    <t>Pokemon Chaos Rising LAUNCH DAY ⚡🔥 | Booster Pack #1</t>
  </si>
  <si>
    <t>rebel-clash-192</t>
  </si>
  <si>
    <t>192</t>
  </si>
  <si>
    <t>Watchog - Single Gold Star - Illustration Rare</t>
  </si>
  <si>
    <t>JM8wHAH8FEw</t>
  </si>
  <si>
    <t>Chaos Rising Pack #2 ⚡🔥 | BACK TO BACK Hits?! 😳</t>
  </si>
  <si>
    <t>rebel-clash-196</t>
  </si>
  <si>
    <t>rebel-clash-194</t>
  </si>
  <si>
    <t>t_okfWNQ4BQ</t>
  </si>
  <si>
    <t>Only Garbage Rips? 😬 | Prismatic ETB Pack #5</t>
  </si>
  <si>
    <t>2026-05-21</t>
  </si>
  <si>
    <t>title: pack 5  Prismatic Evolutions</t>
  </si>
  <si>
    <t>Trainer - Friends In Paldea - Double Silver Star - Ultra Rare</t>
  </si>
  <si>
    <t>rebel-clash-39</t>
  </si>
  <si>
    <t>39</t>
  </si>
  <si>
    <t>Common</t>
  </si>
  <si>
    <t>1dkor9FBy7s</t>
  </si>
  <si>
    <t>Perfect Order ETB ⚡ | Pack #8 (PLEASE Save This ETB 😬)</t>
  </si>
  <si>
    <t>title: pack 8  Perfect Order</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</si>
  <si>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</si>
  <si>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FlMsxjakWcs</t>
  </si>
  <si>
    <t>Journey Together Booster Bundle #2 ⚡ | Pack #5 We NEED A Hit 😬</t>
  </si>
  <si>
    <t>2026-05-20</t>
  </si>
  <si>
    <t>title: #2 pack 5  Booster Bundle  Journey Together</t>
  </si>
  <si>
    <t>1zqH_hRYFvo</t>
  </si>
  <si>
    <t>Only Garbage Rips? 😬 | Destined Rivals Pack #10</t>
  </si>
  <si>
    <t>title: pack 10  Destined Rivals</t>
  </si>
  <si>
    <t xml:space="preserve">Crustle - Single Gold Star - Illustration Rare </t>
  </si>
  <si>
    <t>yJujjKbIVFg</t>
  </si>
  <si>
    <t>Opening MORE Japanese Stellar Miracle Packs 🇯🇵✨</t>
  </si>
  <si>
    <t>2026-05-19</t>
  </si>
  <si>
    <t xml:space="preserve">Crabominable - AR - Art Rare </t>
  </si>
  <si>
    <t>Stellar Miracle - 5 Packs</t>
  </si>
  <si>
    <t>vZT6BI7EcQM</t>
  </si>
  <si>
    <t>Perfect Order ETB ⚡ | Pack #7 Running Out Of Chances 😬</t>
  </si>
  <si>
    <t>lo_VtHulsWc</t>
  </si>
  <si>
    <t>Only Garbage Rips? 😬 | Destined Rivals Pack #9</t>
  </si>
  <si>
    <t>2026-05-18</t>
  </si>
  <si>
    <t>title: pack 9  Destined Rivals</t>
  </si>
  <si>
    <t>VjhleCTxCDA</t>
  </si>
  <si>
    <t>Prismatic Evolutions ETB ✨ | Pack #4 Is This The Umbreon Pack?</t>
  </si>
  <si>
    <t>title: pack 4  Prismatic Evolutions</t>
  </si>
  <si>
    <t>Walking Wake ex - Triple Gold Star - Hyper Rare</t>
  </si>
  <si>
    <t>uIAcSD4quE8</t>
  </si>
  <si>
    <t>Perfect Order ETB ⚡ | Pack #6 STILL No Hits… 😬</t>
  </si>
  <si>
    <t>2026-05-17</t>
  </si>
  <si>
    <t>title: pack 6  Perfect Order</t>
  </si>
  <si>
    <t>76YEF7mdqvk</t>
  </si>
  <si>
    <t>Journey Together Booster Bundle #2 ⚡ | Pack #4 We NEED A Hit 😬</t>
  </si>
  <si>
    <t>title: #2 pack 4  Booster Bundle  Journey Together</t>
  </si>
  <si>
    <t xml:space="preserve">Mamoswine ex - Double Black Star - Double Rare </t>
  </si>
  <si>
    <t>5FJZOamuxs8</t>
  </si>
  <si>
    <t>Only Garbage Rips? 😬 | Prismatic ETB Pack #3</t>
  </si>
  <si>
    <t>2026-05-16</t>
  </si>
  <si>
    <t>title: pack 3  Prismatic Evolutions</t>
  </si>
  <si>
    <t>auKzs0g2LL8</t>
  </si>
  <si>
    <t>Do Mega Symphonia Packs Actually Hit?! 🇯🇵✨</t>
  </si>
  <si>
    <t>0:42</t>
  </si>
  <si>
    <t xml:space="preserve">Mega Abomasnow ex - RR - Double Rare , Trainer - Rare Candy - SR - Full Art </t>
  </si>
  <si>
    <t xml:space="preserve">Mega Symphonia - 5 Packs </t>
  </si>
  <si>
    <t>8d2a5b_BmYQ</t>
  </si>
  <si>
    <t>FINAL Ascended Heroes Bundle Pack ⚡ | Last Pack Magic?! 😬</t>
  </si>
  <si>
    <t>2026-05-15</t>
  </si>
  <si>
    <t>Booster Bundle  Ascended Heroes</t>
  </si>
  <si>
    <t xml:space="preserve">Larry's Staraptor - Single Gold Star - Illustration Rare </t>
  </si>
  <si>
    <t>484NOQA1r8Q</t>
  </si>
  <si>
    <t>Destined Rivals Pack #8 ⚡ | Can We TOP The Mewtwo?! 😳</t>
  </si>
  <si>
    <t>title: pack 8  Destined Rivals</t>
  </si>
  <si>
    <t>2OFpV33VzpU</t>
  </si>
  <si>
    <t>Only Garbage Rips? 😬 | Perfect Order ETB Pack #5</t>
  </si>
  <si>
    <t>2026-05-14</t>
  </si>
  <si>
    <t>title: pack 5  Perfect Order</t>
  </si>
  <si>
    <t>uGRqBM2AOag</t>
  </si>
  <si>
    <t>Only Garbage Rips? 😬 | Journey Together Bundle #2 Pack #3</t>
  </si>
  <si>
    <t>title: #2 pack 3  Booster Bundle  Journey Together</t>
  </si>
  <si>
    <t xml:space="preserve">Swinub - Single Gold Star - Illustration Rare </t>
  </si>
  <si>
    <t>LFpa9K2DA6Q</t>
  </si>
  <si>
    <t>Only Garbage Rips? 😬 | Prismatic ETB Pack #2</t>
  </si>
  <si>
    <t>2026-05-13</t>
  </si>
  <si>
    <t>title: pack 2  Prismatic Evolutions</t>
  </si>
  <si>
    <t xml:space="preserve">Cornerstone Mask Ogerpon ex - Double Black Star - Double Rare </t>
  </si>
  <si>
    <t>bh8OGK_jE2Y</t>
  </si>
  <si>
    <t>Opening Japanese Stellar Miracle Packs 🇯🇵✨</t>
  </si>
  <si>
    <t>One row per card pulled. Several rows can share a Video ID.</t>
  </si>
  <si>
    <t>0:48</t>
  </si>
  <si>
    <t>Hall of Fame = Yes marks the all-time best, which get their own page.</t>
  </si>
  <si>
    <t xml:space="preserve">Meditite - AR - Art Rare ,  Raboot - AR - Art Rare </t>
  </si>
  <si>
    <t>PPEKxxW-s_g</t>
  </si>
  <si>
    <t>Ascended Heroes Booster Bundle ⚡ | Pack #5 We NEED A Hit 😬</t>
  </si>
  <si>
    <t>2026-05-12</t>
  </si>
  <si>
    <t>title: pack 5  Booster Bundle  Ascended Heroes</t>
  </si>
  <si>
    <t>gq4wUMrTrB0</t>
  </si>
  <si>
    <t>Destined Rivals Pack #7 ⚡ | Can We Go EVEN Bigger?! 😬</t>
  </si>
  <si>
    <t>title: pack 7  Destined Rivals</t>
  </si>
  <si>
    <t xml:space="preserve">Team Rocket's Crobat ex - Double Black Star - Double Rare </t>
  </si>
  <si>
    <t>uyiszkVXiUQ</t>
  </si>
  <si>
    <t>Perfect Order ETB ⚡ | Pack #4 Is This The One?</t>
  </si>
  <si>
    <t>2026-05-11</t>
  </si>
  <si>
    <t>title: pack 4  Perfect Order</t>
  </si>
  <si>
    <t>OMpbKBu38rk</t>
  </si>
  <si>
    <t>Japanese Mega Symphonia Packs 🇯🇵⚡ | JCC Rochester Pickups!</t>
  </si>
  <si>
    <t>0:38</t>
  </si>
  <si>
    <t>YqaeisWumvQ</t>
  </si>
  <si>
    <t>Journey Together Booster Bundle #2 ⚡ | Pack #2 Any Better?</t>
  </si>
  <si>
    <t>title: #2 pack 2  Booster Bundle  Journey Together</t>
  </si>
  <si>
    <t>GK_IadR7G1g</t>
  </si>
  <si>
    <t>WE HIT Team Rocket’s Mewtwo ex 🤯✨ | Destined Rivals Pack #6</t>
  </si>
  <si>
    <t>2026-05-10</t>
  </si>
  <si>
    <t>title: pack 6  Destined Rivals</t>
  </si>
  <si>
    <t xml:space="preserve">Team Rocket’s Mewtwo ex - Triple Gold Star - Hyper Rare </t>
  </si>
  <si>
    <t>hCI0HSfly1c</t>
  </si>
  <si>
    <t>Prismatic Evolutions ETB ✨ | Pack #1 Umbreon Hunt Begins</t>
  </si>
  <si>
    <t>title: pack 1  Prismatic Evolutions</t>
  </si>
  <si>
    <t>UqZn1J9vVGc</t>
  </si>
  <si>
    <t>Ascended Heroes Booster Bundle ⚡ | Pack #4 Is This The One?</t>
  </si>
  <si>
    <t>2026-05-09</t>
  </si>
  <si>
    <t>title: pack 4  Booster Bundle  Ascended Heroes</t>
  </si>
  <si>
    <t>DMJYnQE8shY</t>
  </si>
  <si>
    <t>Perfect Order ETB ⚡ | Pack #3 Getting Lucky?</t>
  </si>
  <si>
    <t>2026-05-08</t>
  </si>
  <si>
    <t>title: pack 3  Perfect Order</t>
  </si>
  <si>
    <t xml:space="preserve">Mega Clefable ex - Double Silver Star - Ultra Rare </t>
  </si>
  <si>
    <t>C4IPzbJZlHw</t>
  </si>
  <si>
    <t>Journey Together Booster Bundle #2 ⚡ | Pack #1 First Pack Magic?</t>
  </si>
  <si>
    <t>title: #2 pack 1  Booster Bundle  Journey Together</t>
  </si>
  <si>
    <t>d0ux4nsMixw</t>
  </si>
  <si>
    <t>Only Garbage Rips? 😬 | Perfect Order Pack #6</t>
  </si>
  <si>
    <t>2026-05-07</t>
  </si>
  <si>
    <t>Probopass - Single Gold Star - Illustration Rare</t>
  </si>
  <si>
    <t>Z0s6mRdT_QE</t>
  </si>
  <si>
    <t>Only Garbage Rips? 😬 | Destined Rivals Pack #5</t>
  </si>
  <si>
    <t>title: pack 5  Destined Rivals</t>
  </si>
  <si>
    <t>A38u-diwmvw</t>
  </si>
  <si>
    <t>Ascended Heroes Pack #7 ⚡ | STILL No Big Hits… 😬</t>
  </si>
  <si>
    <t>title: pack 7  Ascended Heroes</t>
  </si>
  <si>
    <t>PvitecaJjAc</t>
  </si>
  <si>
    <t>Ascended Heroes Booster Bundle ⚡ | Pack #3 Getting Lucky Yet?</t>
  </si>
  <si>
    <t>2026-05-06</t>
  </si>
  <si>
    <t>title: pack 3  Booster Bundle  Ascended Heroes</t>
  </si>
  <si>
    <t>Q09fPPjWf8A</t>
  </si>
  <si>
    <t>Destined Rivals Pack #4 ⚡ | STILL No Mewtwo… 😬</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</si>
  <si>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</si>
  <si>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</si>
  <si>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</si>
  <si>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</si>
  <si>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</si>
  <si>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</si>
  <si>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</si>
  <si>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</si>
  <si>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</si>
  <si>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</si>
  <si>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Phantasmal Flames Pack #11 🔥 | STILL No Charizard SIR… 😬</t>
  </si>
  <si>
    <t>title: pack 11  Phantasmal Flames</t>
  </si>
  <si>
    <t>Vbqy14CESN4</t>
  </si>
  <si>
    <t>Pokémon Destined Rivals Pack #3 ⚡ | Getting Lucky Yet?</t>
  </si>
  <si>
    <t>2026-05-03</t>
  </si>
  <si>
    <t>title: pack 3  Destined Rivals</t>
  </si>
  <si>
    <t>oAdG2xms9Ko</t>
  </si>
  <si>
    <t>Perfect Order ETB ⚡ | Pack #1 First Pack Magic?</t>
  </si>
  <si>
    <t>title: pack 1  Perfect Order</t>
  </si>
  <si>
    <t xml:space="preserve">Aurorus - Single Gold Star - Illustration Rare </t>
  </si>
  <si>
    <t>Qf2PmYHL8Xw</t>
  </si>
  <si>
    <t>Ascended Heroes Booster Bundle ⚡ | Pack #1 (First Pack Magic?)</t>
  </si>
  <si>
    <t>2026-05-02</t>
  </si>
  <si>
    <t>title: pack 1  Booster Bundle  Ascended Heroes</t>
  </si>
  <si>
    <t>4qNvWCkNb9w</t>
  </si>
  <si>
    <t>Phantasmal Flames Pack #10 🔥 | STILL No Charizard?! 😬</t>
  </si>
  <si>
    <t>title: pack 10  Phantasmal Flames</t>
  </si>
  <si>
    <t>Pvi54rMlLfQ</t>
  </si>
  <si>
    <t>Only Garbage Rips? 😬 | Mega Evolution Pack #3</t>
  </si>
  <si>
    <t>2026-05-01</t>
  </si>
  <si>
    <t>title: pack 3  Mega Evolution</t>
  </si>
  <si>
    <t xml:space="preserve">Mega Evolution </t>
  </si>
  <si>
    <t>tTxItGrPfUw</t>
  </si>
  <si>
    <t>Only Garbage Rips? 😬 | Perfect Order Pack #5</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</si>
  <si>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</si>
  <si>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</si>
  <si>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</si>
  <si>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</si>
  <si>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</si>
  <si>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</si>
  <si>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</si>
  <si>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</si>
  <si>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</si>
  <si>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</si>
  <si>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GroN9k8XsN0</t>
  </si>
  <si>
    <t>Ascended Heroes Pack #6 ⚡ | STILL No Big Hits… 😬</t>
  </si>
  <si>
    <t>title: pack 6  Ascended Heroes</t>
  </si>
  <si>
    <t>Terapagos ex - Double Black Star - Double Rare</t>
  </si>
  <si>
    <t>rMMOuM8bsqE</t>
  </si>
  <si>
    <t>Ascended Heroes Mini Tin #4 ⚡ | We NEED A Hit 😬</t>
  </si>
  <si>
    <t>2026-04-28</t>
  </si>
  <si>
    <t>0:32</t>
  </si>
  <si>
    <t>title: #4  Tin  Ascended Heroes</t>
  </si>
  <si>
    <t>Ascended Heroes - 2 Packs</t>
  </si>
  <si>
    <t>EPqUqzrAc30</t>
  </si>
  <si>
    <t>More Japanese Nihil Zero Packs 🇯🇵🧊 | Buffalo TCG Con Pickups!</t>
  </si>
  <si>
    <t>0:34</t>
  </si>
  <si>
    <t xml:space="preserve">Trainer - Poké Pad - SR - Full Art </t>
  </si>
  <si>
    <t>Nihil Zero - 4 Packs</t>
  </si>
  <si>
    <t>vHvWDOPoxjo</t>
  </si>
  <si>
    <t>Pokémon Mega Heroes Mini Tin #1 ⚡ | First Tin Magic!?</t>
  </si>
  <si>
    <t>2026-04-27</t>
  </si>
  <si>
    <t>title: #1  Tin</t>
  </si>
  <si>
    <t>Destined Rivals - Marnie's Grimmsnarl ex - Double Black Star - Double Rare</t>
  </si>
  <si>
    <t>Destined Rivals - 1 Pack, Mega Evolution - 1 Pack</t>
  </si>
  <si>
    <t>QXS1W_L2qbs</t>
  </si>
  <si>
    <t>Pokémon GO Pack #12 ⚡ | STILL No Ditto or Mewtwo?! 😬</t>
  </si>
  <si>
    <t>title: pack 12  Pokémon GO</t>
  </si>
  <si>
    <t>Bidoof PEELABLE DITTO 059/078 Reverse Holo</t>
  </si>
  <si>
    <t>sdZx0lmq2mQ</t>
  </si>
  <si>
    <t>Ascended Heroes Mini Tin #3 ⚡ | Is This The One?</t>
  </si>
  <si>
    <t>2026-04-26</t>
  </si>
  <si>
    <t>0:36</t>
  </si>
  <si>
    <t>title: #3  Tin  Ascended Heroes</t>
  </si>
  <si>
    <t xml:space="preserve">Mega Froslass ex - Pink and Green Star - Mega Attack Rare </t>
  </si>
  <si>
    <t>KEK0q0PgN_I</t>
  </si>
  <si>
    <t>Only Garbage Rips? 😬 | Phantasmal Flames Pack #8</t>
  </si>
  <si>
    <t>title: pack 8  Phantasmal Flames</t>
  </si>
  <si>
    <t>Mega Lopunny ex - Double Silver Star - Ultra Rare</t>
  </si>
  <si>
    <t>wBIeB-63sKw</t>
  </si>
  <si>
    <t>Prismatic Evolutions Mini Tin #1 ✨ | First Tin Magic!?</t>
  </si>
  <si>
    <t>2026-04-25</t>
  </si>
  <si>
    <t>title: #1  Tin  Prismatic Evolutions</t>
  </si>
  <si>
    <t>Lugia ex - Double Black Star - Double Rare</t>
  </si>
  <si>
    <t>Prismatic Evolutions - 2 Packs</t>
  </si>
  <si>
    <t>-la8PgoBkCw</t>
  </si>
  <si>
    <t>Pokémon GO Pack #11 ⚡ | The Hunt Continues… 😬</t>
  </si>
  <si>
    <t>title: pack 11  Pokémon GO</t>
  </si>
  <si>
    <t>XjFoToaom6k</t>
  </si>
  <si>
    <t>Pokémon Victini Illustration Collection 🔥 Only Garbage Rips? 😬</t>
  </si>
  <si>
    <t>2026-04-24</t>
  </si>
  <si>
    <t>1:15</t>
  </si>
  <si>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</si>
  <si>
    <t>Black Bolt - 2 Packs, White Flare - 2 Packs</t>
  </si>
  <si>
    <t>LGzHC-k4vh0</t>
  </si>
  <si>
    <t>FINAL Journey Together Booster Bundle Pack ⚡ | Last Pack Magic?! 😬</t>
  </si>
  <si>
    <t>0:30</t>
  </si>
  <si>
    <t>Booster Bundle  Journey Together</t>
  </si>
  <si>
    <t xml:space="preserve">Lillie's Clefairy ex - Double Black Star - Double Rare </t>
  </si>
  <si>
    <t>8SX0B-7WM8A</t>
  </si>
  <si>
    <t>Prismatic Evolutions Poster Collection 💖 | Eeveelutions!?</t>
  </si>
  <si>
    <t>2026-04-23</t>
  </si>
  <si>
    <t>Poster Collection</t>
  </si>
  <si>
    <t>Teal Mask Ogerpon ex - Double Black Star - Double Rare</t>
  </si>
  <si>
    <t>Prismatic Evolutions - 3 Packs</t>
  </si>
  <si>
    <t>J0Gy0iIz3ok</t>
  </si>
  <si>
    <t>Pokémon Unova Mini Tin #2 ⚡ | Any Better?</t>
  </si>
  <si>
    <t>title: #2  Tin</t>
  </si>
  <si>
    <t>Black Bolt - Excadrill ex - Double Silver Star - Ultra Rare</t>
  </si>
  <si>
    <t>Black Bolt - 1 Pack, White Flare - 1 Pack</t>
  </si>
  <si>
    <t>HbSOpODafEw</t>
  </si>
  <si>
    <t>Ascended Heroes Mini Tin #2 ⚡ | Any Better?</t>
  </si>
  <si>
    <t>2026-04-22</t>
  </si>
  <si>
    <t>0:39</t>
  </si>
  <si>
    <t>title: #2  Tin  Ascended Heroes</t>
  </si>
  <si>
    <t xml:space="preserve">Stunfisk ex - Double Silver Star - Ultra Rare </t>
  </si>
  <si>
    <t>NzWUDxXwnPI</t>
  </si>
  <si>
    <t>Japanese Nihil Zero Packs 🇯🇵🧊 | From Buffalo TCG Con!</t>
  </si>
  <si>
    <t>Raticate - AR - Art Rare, Aurorus - AR - Art Rare</t>
  </si>
  <si>
    <t>53yMHXauDnA</t>
  </si>
  <si>
    <t>Journey Together Booster Bundle ⚡ | Pack #5… We NEED A Hit 😬</t>
  </si>
  <si>
    <t>2026-04-21</t>
  </si>
  <si>
    <t>title: pack 5  Booster Bundle  Journey Together</t>
  </si>
  <si>
    <t>dQaN_4yqS0w</t>
  </si>
  <si>
    <t>Only Garbage Rips? 😬 | Mega Evolutions Pack #2</t>
  </si>
  <si>
    <t>title: pack 2  Evolutions</t>
  </si>
  <si>
    <t>Trainer - Acerola's Mischief - Double Siliver Star - Ultra Rare</t>
  </si>
  <si>
    <t>7PBrXPgt9kU</t>
  </si>
  <si>
    <t>FINAL Perfect Order Booster Bundle Pack ⚡ | Last Pack Magic?! 😬</t>
  </si>
  <si>
    <t>2026-04-20</t>
  </si>
  <si>
    <t>Booster Bundle  Perfect Order</t>
  </si>
  <si>
    <t>S_2SHhBqlH8</t>
  </si>
  <si>
    <t>Only Garbage Rips? 😬 | Phantasmal Flames Pack #7</t>
  </si>
  <si>
    <t>title: pack 7  Phantasmal Flames</t>
  </si>
  <si>
    <t xml:space="preserve">Nymble - Single Gold Star - Illustration Rare </t>
  </si>
  <si>
    <t>cg0H0ipfB90</t>
  </si>
  <si>
    <t>Random 2-Pack Blister 😬 | Armarouge, Revavroom &amp; Houndstone</t>
  </si>
  <si>
    <t>2026-04-19</t>
  </si>
  <si>
    <t>2 Pack Blister</t>
  </si>
  <si>
    <t>Silver Tempest - Corviknight V -  Trainer Gallery, Silver Tempest - Reshiram V , Lost Origin - Galarian Perrserker V</t>
  </si>
  <si>
    <t>Silver Tempest - 1 Pack , Lost Origin -1 Pack</t>
  </si>
  <si>
    <t>hVS0VH-nfVM</t>
  </si>
  <si>
    <t>Pokémon Mega Evolution Booster Pack #1 ⚡ | First Pack</t>
  </si>
  <si>
    <t>title: pack 1  Mega Evolution</t>
  </si>
  <si>
    <t>U91JWMsUHAU</t>
  </si>
  <si>
    <t>Pokémon Crown Zenith Booster Pack #1 👑 | First Pack Magic?</t>
  </si>
  <si>
    <t>2026-04-18</t>
  </si>
  <si>
    <t>title: pack 1  Crown Zenith</t>
  </si>
  <si>
    <t>Paras - Galarian Gallery</t>
  </si>
  <si>
    <t>VP1UXW3MrGU</t>
  </si>
  <si>
    <t>Journey Together Booster Bundle ⚡ | Pack #4 🫣</t>
  </si>
  <si>
    <t>title: pack 4  Booster Bundle  Journey Together</t>
  </si>
  <si>
    <t>JjTm-bYLhGE</t>
  </si>
  <si>
    <t>First Partner Box #4 🎨 | STILL No 151 Starters… 😬</t>
  </si>
  <si>
    <t>2026-04-17</t>
  </si>
  <si>
    <t>0:43</t>
  </si>
  <si>
    <t>title: #4  Collection Box  151</t>
  </si>
  <si>
    <t xml:space="preserve">First Partner Illustration Collection (Series 1) Sinnoh Region Promos: Turtwig, Chimchar, Piplup ; Phantasmal Flames - Mismagius ex - Double Black Star - Double Rare </t>
  </si>
  <si>
    <t>fFbWjWLD1N4</t>
  </si>
  <si>
    <t>Perfect Order Booster Bundle ⚡ | Pack #5… We NEED A Hit 😬</t>
  </si>
  <si>
    <t>title: pack 5  Booster Bundle  Perfect Order</t>
  </si>
  <si>
    <t>39Rh6NJPK9M</t>
  </si>
  <si>
    <t>Journey Together Booster Bundle ⚡ | Pack #3</t>
  </si>
  <si>
    <t>2026-04-16</t>
  </si>
  <si>
    <t>title: pack 3  Booster Bundle  Journey Together</t>
  </si>
  <si>
    <t>K5RKQlNhvl8</t>
  </si>
  <si>
    <t>Japanese Mega Brave Packs 🇯🇵💥 | Do These Hit?!</t>
  </si>
  <si>
    <t>Spearow - AR - Art Rare</t>
  </si>
  <si>
    <t>Mega Brave - 5 Packs</t>
  </si>
  <si>
    <t>6sg185zTjM4</t>
  </si>
  <si>
    <t>Perfect Order Booster Bundle ⚡ | Pack #4</t>
  </si>
  <si>
    <t>2026-04-15</t>
  </si>
  <si>
    <t>title: pack 4  Booster Bundle  Perfect Order</t>
  </si>
  <si>
    <t xml:space="preserve">Decidueye ex - Double Black Star - Double Rare </t>
  </si>
  <si>
    <t>J-Gqbe3jPn4</t>
  </si>
  <si>
    <t>Opening My FIRST Chilling Reign Pack 😬</t>
  </si>
  <si>
    <t>Gold Fighting Energy - Secret Rare</t>
  </si>
  <si>
    <t>yMTuhasZsZ4</t>
  </si>
  <si>
    <t>Journey Together Booster Bundle ⚡ | Pack #2</t>
  </si>
  <si>
    <t>2026-04-14</t>
  </si>
  <si>
    <t>title: pack 2  Booster Bundle  Journey Together</t>
  </si>
  <si>
    <t>Volcanion ex - Double Gold Star - Special Illustration Rare</t>
  </si>
  <si>
    <t>4z82NZ7QCJY</t>
  </si>
  <si>
    <t>First Partner Collection Box #3 🎨 | 151 Starter Hunt Continues…</t>
  </si>
  <si>
    <t>title: #3  Collection Box  151</t>
  </si>
  <si>
    <t xml:space="preserve">First Partner Illustration Collection (Series 1) Alola Region Promos : Rowlet, Litten, Popplio ; Mega Evolution - Mega Venusaur ex - Double Black Star - Double Rare ; Phantasmal Flames - Empoleon ex - Double Silver Star - Ultra Rare </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</si>
  <si>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</si>
  <si>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</si>
  <si>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</si>
  <si>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</si>
  <si>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</si>
  <si>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</si>
  <si>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</si>
  <si>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</si>
  <si>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</si>
  <si>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</si>
  <si>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</si>
  <si>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nCIpRxwMMBE</t>
  </si>
  <si>
    <t>Pokémon Rebel Clash Booster Pack #2 ⚡ | Any Better?</t>
  </si>
  <si>
    <t>title: pack 2  Rebel Clash</t>
  </si>
  <si>
    <t>Cinderace V Max</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</si>
  <si>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</si>
  <si>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</si>
  <si>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</si>
  <si>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</si>
  <si>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</si>
  <si>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</si>
  <si>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</si>
  <si>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</si>
  <si>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</si>
  <si>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</si>
  <si>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fZk7D5Wd0Eg</t>
  </si>
  <si>
    <t>Ascended Heroes First Partners Deluxe Pin Collection 🌱🔥💧</t>
  </si>
  <si>
    <t>1:12</t>
  </si>
  <si>
    <t>First Partners Deluxe Pin Collection</t>
  </si>
  <si>
    <t xml:space="preserve">Anthea &amp; Concordia - Double Silver Star - Ultra Rare ; Togekiss - Single Gold Star - IllustrationRare </t>
  </si>
  <si>
    <t>Ascended Heroes - 5 Packs</t>
  </si>
  <si>
    <t>ac3pK3zh0DE</t>
  </si>
  <si>
    <t>Opening a Reshiram ex Box 😬 | Is This Worth It?</t>
  </si>
  <si>
    <t>2026-04-09</t>
  </si>
  <si>
    <t xml:space="preserve">Surging Sparks - Palossand ex - Double Black Star - Double Rare ; Twilight Masquerade - Bloodmoon Ursaluna ex - Double Black Star - Double Rare </t>
  </si>
  <si>
    <t xml:space="preserve">Surging Sparks - 2 Packs ; Twilight Masquerade - 2 Packs </t>
  </si>
  <si>
    <t>i9htInhtbCw</t>
  </si>
  <si>
    <t>FINAL Pokémon GO Pack ⚡ | Mewtwo or Ditto?! 😬</t>
  </si>
  <si>
    <t>Trainer - Egg Incubator Gold - Secret Rare</t>
  </si>
  <si>
    <t>MFBINfOTwZ8</t>
  </si>
  <si>
    <t>Only Garbage Rips? 😬 | Pokémon GO Pack #9</t>
  </si>
  <si>
    <t>2026-04-08</t>
  </si>
  <si>
    <t>title: pack 9  Pokémon GO</t>
  </si>
  <si>
    <t>-fOEh7wMmkE</t>
  </si>
  <si>
    <t>Ascended Heroes Sticker Collection 😬 | Charmander Promo 🔥</t>
  </si>
  <si>
    <t>Tech Sticker Collection</t>
  </si>
  <si>
    <t xml:space="preserve">Larry's Dudunsparce ex - Double Black Star - Double Rare ; Dragapult ex - Double Black Star - Double Rare </t>
  </si>
  <si>
    <t>Ascended Heroes - 3 Packs</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</si>
  <si>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</si>
  <si>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</si>
  <si>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</si>
  <si>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</si>
  <si>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</si>
  <si>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</si>
  <si>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</si>
  <si>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</si>
  <si>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</si>
  <si>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g9RQqx9da6Q</t>
  </si>
  <si>
    <t>Only Garbage Rips? 😬 | Mabosstiff Box Opening 🐶</t>
  </si>
  <si>
    <t>1:06</t>
  </si>
  <si>
    <t xml:space="preserve">Mabosstiff ex - Black Star Promo ; Paradox Rift - Golisopod ex - Double Black Star - Double Rare ; Silver Tempest - Alolan Vulpix V </t>
  </si>
  <si>
    <t xml:space="preserve">Paradox Rift - 2 Packs ; Obsidian Flames - 1 Pack ; Silver Tempest - 1 Pack </t>
  </si>
  <si>
    <t>GLM2VLIWZGo</t>
  </si>
  <si>
    <t>Mega Charizard Y EX Tin 🔥 | Did We Hit?!</t>
  </si>
  <si>
    <t>2026-04-05</t>
  </si>
  <si>
    <t>1:03</t>
  </si>
  <si>
    <t>Mega Charizard Y - Black Star Promo ; Journey Together - N's Zoroark ex - Double Black Star - Double Rare ; Mega Evolution - Marshadow - Single Gold Star - Illustration Rare ; Phantasmal Flames - Mega Lopunny ex - Double Black Star - Double Rare</t>
  </si>
  <si>
    <t>Phantasmal Flames - 2 Packs ; Mega Evolution - 1 Pack ; Journey Together - 1 Pack</t>
  </si>
  <si>
    <t>dQpRfkoUPWI</t>
  </si>
  <si>
    <t>Opening 25th Anniversary Packs During Pokémon 30th… 😬</t>
  </si>
  <si>
    <t>desc: pack 1  Celebrations</t>
  </si>
  <si>
    <t>N3bs0HjmrKY</t>
  </si>
  <si>
    <t>Japanese Stellar Miracle Packs 🇯🇵✨ | Do These Hit?!</t>
  </si>
  <si>
    <t>2026-04-04</t>
  </si>
  <si>
    <t>Stellar Miracle - 3 Packs</t>
  </si>
  <si>
    <t>LlGPrTKqIYg</t>
  </si>
  <si>
    <t>Ascended Heroes Tech Sticker Collection 👻 | Gastly Promo</t>
  </si>
  <si>
    <t>0:45</t>
  </si>
  <si>
    <t xml:space="preserve">Mega Dragonite ex - Double Black Star - Double Rare ; Trainer - Cheren - Double Silver Star - Ultra Rare </t>
  </si>
  <si>
    <t>VYyrgZDkOFY</t>
  </si>
  <si>
    <t>Only Garbage Rips? 😬 | Perfect Order Pack #3</t>
  </si>
  <si>
    <t>Lapras ex - Double Black Star - Double Rare</t>
  </si>
  <si>
    <t>LKSHOUDN-i4</t>
  </si>
  <si>
    <t>Ascended Heroes Mini Tin #1 ⚡ | What’s Inside?</t>
  </si>
  <si>
    <t>2026-04-03</t>
  </si>
  <si>
    <t>title: #1  Tin  Ascended Heroes</t>
  </si>
  <si>
    <t>igNbRZX5e_0</t>
  </si>
  <si>
    <t>Perfect Order 3-Pack Blister 🌱 | Chikorita Promo</t>
  </si>
  <si>
    <t>Blister  Perfect Order</t>
  </si>
  <si>
    <t>3 Pack Blister</t>
  </si>
  <si>
    <t xml:space="preserve">Mega Starmie ex - Double Silver Star - Ultra Rare ; Dedenne - Single Gold Star - Illustration Rare </t>
  </si>
  <si>
    <t>Perfect Order - 3 Packs</t>
  </si>
  <si>
    <t>5BnjVE-BN70</t>
  </si>
  <si>
    <t>Pokémon GO Booster Pack #7 ⚡ | Running Out of Chances… 😬</t>
  </si>
  <si>
    <t>2026-04-02</t>
  </si>
  <si>
    <t>title: pack 7  Pokémon GO</t>
  </si>
  <si>
    <t>Radiant Charizard - Radiant Rare</t>
  </si>
  <si>
    <t>_ccErXVzURs</t>
  </si>
  <si>
    <t>Japanese Ninja Spinner Packs 🇯🇵🥷 | Greninja Hunt Begins</t>
  </si>
  <si>
    <t>0:52</t>
  </si>
  <si>
    <t>Frogadier - AR - Art Rare</t>
  </si>
  <si>
    <t xml:space="preserve">Ninja Spinner - 4 Packs </t>
  </si>
  <si>
    <t>gSygkzEehmU</t>
  </si>
  <si>
    <t>Pokémon GO Booster Pack #6 ⚡ | Mewtwo or Ditto?!</t>
  </si>
  <si>
    <t>2026-04-01</t>
  </si>
  <si>
    <t>title: pack 6  Pokémon GO</t>
  </si>
  <si>
    <t>4yxqzTeZMAo</t>
  </si>
  <si>
    <t>Only Garbage Rips? 😬 | Perfect Order Pack #2</t>
  </si>
  <si>
    <t>PnbibBm1E64</t>
  </si>
  <si>
    <t>Korean Clay Burst Booster Packs 🇰🇷🔥 | 2 Pack Test</t>
  </si>
  <si>
    <t>2026-03-31</t>
  </si>
  <si>
    <t>Korean Single Booster Pack</t>
  </si>
  <si>
    <t xml:space="preserve">Clay Burst - 2 Packs </t>
  </si>
  <si>
    <t>C4mvo_Justc</t>
  </si>
  <si>
    <t>Opening Pokémon First Partner Illustration Collection Box #2 🎨</t>
  </si>
  <si>
    <t>1:02</t>
  </si>
  <si>
    <t>First Partner Illustration Collection (Series 1) Sinnoh Region Promos: Turtwig, Chimchar, Piplup</t>
  </si>
  <si>
    <t>qlu2os83uos</t>
  </si>
  <si>
    <t>Pokémon 2-Pack Blister 🌸 | Vileplume Evolution Promos</t>
  </si>
  <si>
    <t>2026-03-30</t>
  </si>
  <si>
    <t>0:41</t>
  </si>
  <si>
    <t>Mega Evolution- Trainer - Premium Power Pro - Double Silver Star - Ultra Rare</t>
  </si>
  <si>
    <t>Phantasmal Flames -1 Pack ; Mega Evolution- 1 Pack</t>
  </si>
  <si>
    <t>mDDuc-YDvbw</t>
  </si>
  <si>
    <t>Perfect Order Booster Pack #1 ⚡ | First Pack Magic?</t>
  </si>
  <si>
    <t>JVrd7EVB2_8</t>
  </si>
  <si>
    <t>Opening Pokémon First Partner Illustration Collection Series 1 Box #1 🎨</t>
  </si>
  <si>
    <t>2026-03-29</t>
  </si>
  <si>
    <t>1:13</t>
  </si>
  <si>
    <t>title: #1</t>
  </si>
  <si>
    <t>First Partner Illustration Collection (Series 1) Alola Region Promos : Rowlet, Litten, Popplio ; Phantasmal Flames - Dewgong - Single Gold Star - Illustration Rare</t>
  </si>
  <si>
    <t>wHaIoWhy7XE</t>
  </si>
  <si>
    <t>Pokémon GO Booster Pack #5 ⚡ | We Need A Hit… 😬</t>
  </si>
  <si>
    <t>2026-03-28</t>
  </si>
  <si>
    <t>title: pack 5  Pokémon GO</t>
  </si>
  <si>
    <t>O-vFg-5cx8E</t>
  </si>
  <si>
    <t>Ascended Heroes ETB FINAL PACK ⚡ | Final Pack Magic? 😬</t>
  </si>
  <si>
    <t>yjBNG5dvopc</t>
  </si>
  <si>
    <t>Pokémon GO Booster Pack #4 ⚡ | Is This The Mewtwo Pack!?</t>
  </si>
  <si>
    <t>2026-03-26</t>
  </si>
  <si>
    <t>title: pack 4  Pokémon GO</t>
  </si>
  <si>
    <t>Melmetal V</t>
  </si>
  <si>
    <t>9J16fnroBBM</t>
  </si>
  <si>
    <t>Ascended Heroes ETB Pack #8 ⚡ | Last Chance Before The Final Pack</t>
  </si>
  <si>
    <t>2026-03-25</t>
  </si>
  <si>
    <t>title: pack 8  Ascended Heroes</t>
  </si>
  <si>
    <t>tKOXv-qSYTo</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</si>
  <si>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</si>
  <si>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</si>
  <si>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</si>
  <si>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</si>
  <si>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</si>
  <si>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</si>
  <si>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</si>
  <si>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</si>
  <si>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</si>
  <si>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</si>
  <si>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</si>
  <si>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</si>
  <si>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</si>
  <si>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</si>
  <si>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</si>
  <si>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</si>
  <si>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</si>
  <si>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IcQFu0SaoH4</t>
  </si>
  <si>
    <t>Ascended Heroes ETB Pack #5 ⚡ | Halfway Through The Box</t>
  </si>
  <si>
    <t>2026-03-19</t>
  </si>
  <si>
    <t>title: pack 5  Ascended Heroes</t>
  </si>
  <si>
    <t>Drakloak - Single Gold Star - Illustration Rare</t>
  </si>
  <si>
    <t>W-aWk5zDYlw</t>
  </si>
  <si>
    <t>Only Garbage Rips? 😬 | Shining Fates Pack #2</t>
  </si>
  <si>
    <t>2026-03-18</t>
  </si>
  <si>
    <t>title: pack 2  Shining Fates</t>
  </si>
  <si>
    <t>juzo0HheF1U</t>
  </si>
  <si>
    <t>Ascended Heroes ETB Pack #4 ⚡ | Is This The One?</t>
  </si>
  <si>
    <t>2026-03-17</t>
  </si>
  <si>
    <t>title: pack 4  Ascended Heroes</t>
  </si>
  <si>
    <t>B5--7Dh5OEA</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</si>
  <si>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</si>
  <si>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</si>
  <si>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</si>
  <si>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</si>
  <si>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</si>
  <si>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</si>
  <si>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</si>
  <si>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</si>
  <si>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</si>
  <si>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</si>
  <si>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</si>
  <si>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</si>
  <si>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</si>
  <si>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</si>
  <si>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</si>
  <si>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</si>
  <si>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</si>
  <si>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</si>
  <si>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</si>
  <si>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-e9F0ufKpIQ</t>
  </si>
  <si>
    <t>Ascended Heroes Elite Trainer Box Pack #1 ⚡ | 9 Packs. 9 Chances.</t>
  </si>
  <si>
    <t>2026-03-11</t>
  </si>
  <si>
    <t>j6O6KdblfeY</t>
  </si>
  <si>
    <t>Mega Venusaur ex Premium Collection Opening 🌿🔥</t>
  </si>
  <si>
    <t>2026-03-10</t>
  </si>
  <si>
    <t>NWaiWG7vknM</t>
  </si>
  <si>
    <t>Only Garbage Rips? 😬 | Surging Sparks Pack #4</t>
  </si>
  <si>
    <t>2026-03-09</t>
  </si>
  <si>
    <t>title: pack 4  Surging Sparks</t>
  </si>
  <si>
    <t>SOQUDUMboVU</t>
  </si>
  <si>
    <t>Ascended Heroes 2-Pack Blister 🌿 | Erika’s Tangela Promo</t>
  </si>
  <si>
    <t>2026-03-08</t>
  </si>
  <si>
    <t>Blister  Ascended Heroes</t>
  </si>
  <si>
    <t>XaXGDiOpGJs</t>
  </si>
  <si>
    <t>Surging Sparks Booster Pack #3 ⚡ | Third Time’s The Charm?</t>
  </si>
  <si>
    <t>2026-03-07</t>
  </si>
  <si>
    <t>title: pack 3  Surging Sparks</t>
  </si>
  <si>
    <t>pof6Ph34E6w</t>
  </si>
  <si>
    <t>Korean Battle Partners Booster Packs Opening 🇰🇷🔥</t>
  </si>
  <si>
    <t>2026-03-06</t>
  </si>
  <si>
    <t>EvVnOpgwSmo</t>
  </si>
  <si>
    <t>Surging Sparks Booster Pack #2 ⚡ | Any Better?</t>
  </si>
  <si>
    <t>2026-03-05</t>
  </si>
  <si>
    <t>title: pack 2  Surging Sparks</t>
  </si>
  <si>
    <t>mbzWBfNI-Qs</t>
  </si>
  <si>
    <t>Korean Crimson Haze Booster Packs Opening 🇰🇷🔥</t>
  </si>
  <si>
    <t>2026-03-04</t>
  </si>
  <si>
    <t>IuEb3qtjflI</t>
  </si>
  <si>
    <t>Only Garbage Rips? 😬 | Surging Sparks Pack #1</t>
  </si>
  <si>
    <t>2026-03-03</t>
  </si>
  <si>
    <t>title: pack 1  Surging Sparks</t>
  </si>
  <si>
    <t>8xqvY3OzugE</t>
  </si>
  <si>
    <t>Only Garbage Rips? 😬 | Ascended Heroes 2-Pack Blister</t>
  </si>
  <si>
    <t>2026-03-02</t>
  </si>
  <si>
    <t>F9mAQqKd6r8</t>
  </si>
  <si>
    <t>Only Garbage Rips? 😬 | Mega Charizard X Tin</t>
  </si>
  <si>
    <t>2026-03-01</t>
  </si>
  <si>
    <t>0:49</t>
  </si>
  <si>
    <t>brj3GukGFAE</t>
  </si>
  <si>
    <t>Only Garbage Rips? 😬 | Pokémon 151 Booster Packs</t>
  </si>
  <si>
    <t>2026-02-28</t>
  </si>
  <si>
    <t>zIn3mWKwkyg</t>
  </si>
  <si>
    <t>Pokémon Day 2026 🎉 | 30th Anniversary Pikachu Promo Opening 😬</t>
  </si>
  <si>
    <t>2026-02-27</t>
  </si>
  <si>
    <t>AqZBxDu2wkc</t>
  </si>
  <si>
    <t>Only Garbage Rips? 😬 | Prismatic Evolutions Booster Packs</t>
  </si>
  <si>
    <t>2026-02-26</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</si>
  <si>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</si>
  <si>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</si>
  <si>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</si>
  <si>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</si>
  <si>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</si>
  <si>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</si>
  <si>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</si>
  <si>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</si>
  <si>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</si>
  <si>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</si>
  <si>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</si>
  <si>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</si>
  <si>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</si>
  <si>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</si>
  <si>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LROQ-vFl4Hs</t>
  </si>
  <si>
    <t>Ascended Heroes Pack #3… Third Time’s the Charm? 😬</t>
  </si>
  <si>
    <t>2026-02-21</t>
  </si>
  <si>
    <t>RMastm9Bosw</t>
  </si>
  <si>
    <t>Only Garbage Rips 😬 | Phantasmal Flames Sleeved Boosters (Round 2)</t>
  </si>
  <si>
    <t>2026-02-20</t>
  </si>
  <si>
    <t>vzYuzHFbueo</t>
  </si>
  <si>
    <t>Ascended Heroes Pack #2… Any Luck? 😬 | Garbage Rips</t>
  </si>
  <si>
    <t>2026-02-19</t>
  </si>
  <si>
    <t>Ab81MNFnDLw</t>
  </si>
  <si>
    <t>Only Garbage Rips 😬 | Garbodor Unova Mini Tin (Rochester’s Pokémon)</t>
  </si>
  <si>
    <t>2026-02-18</t>
  </si>
  <si>
    <t>0:40</t>
  </si>
  <si>
    <t>Only Garbage Rips 😬 | Pokémon Ascended Heroes Pack #1</t>
  </si>
  <si>
    <t>2026-02-17</t>
  </si>
  <si>
    <t>Ascended Heroes - Stunfisk ex - Double Silver Star - Ultra Rare</t>
  </si>
  <si>
    <t>wMDMN2emLCM</t>
  </si>
  <si>
    <t>Only Garbage Rips 😬 | Pokémon Trick or Trade BOOster Packs… In February</t>
  </si>
  <si>
    <t>2026-02-16</t>
  </si>
  <si>
    <t>QADrkuqf9pg</t>
  </si>
  <si>
    <t>Only Garbage Rips 😬 | Pokémon Korean Mask of Change Booster Pack</t>
  </si>
  <si>
    <t>2026-02-15</t>
  </si>
  <si>
    <t>jO7K2zX6Rlg</t>
  </si>
  <si>
    <t>Only Garbage Rips 😬 | Pokémon Violet ex Booster Pack</t>
  </si>
  <si>
    <t>2026-02-14</t>
  </si>
  <si>
    <t>8jKHh-P7P7M</t>
  </si>
  <si>
    <t>Only Garbage Rips 😬 | Chinese Gem Pack Vol 2 (Eeveelutions)</t>
  </si>
  <si>
    <t>2026-02-13</t>
  </si>
  <si>
    <t>Only Garbage Rips 😬 | Journey Together Scrafty Blister</t>
  </si>
  <si>
    <t>2026-02-12</t>
  </si>
  <si>
    <t>Blister  Journey Together</t>
  </si>
  <si>
    <t>Journey Together - Volcanion ex - Double Black Star - Double Rare</t>
  </si>
  <si>
    <t>Only Garbage Rips 😬 | Raikou 2-Pack Blister</t>
  </si>
  <si>
    <t>2026-02-11</t>
  </si>
  <si>
    <t>Blister  Phantasmal Flames</t>
  </si>
  <si>
    <t>Phantasmal Flames - Rotom ex - Double Black Star- Double Rare</t>
  </si>
  <si>
    <t>All the packs are on the first set. Move some across the Packs columns if they came from different sets.</t>
  </si>
  <si>
    <t>Only Garbage Rips 😬 | Journey Together 3-Pack Blister</t>
  </si>
  <si>
    <t>2026-02-10</t>
  </si>
  <si>
    <t>Journey Together - Trainer - Ruffian - Double Silver Star - Ultra Rare</t>
  </si>
  <si>
    <t>Only Garbage Rips 😬 | Phantasmal Flames Sleeved Boosters</t>
  </si>
  <si>
    <t>2026-02-09</t>
  </si>
  <si>
    <t>Phantasmal Flames - Mismagius ex - Double Black Star - Double Rare</t>
  </si>
  <si>
    <t>Only Garbage Rips 😬 | Japanese Cyber Judge Booster Packs</t>
  </si>
  <si>
    <t>2026-02-08</t>
  </si>
  <si>
    <t>0:54</t>
  </si>
  <si>
    <t>Cyber Judge - Incineroar ex - SR - Super Rare</t>
  </si>
  <si>
    <t>evnMahizn0I</t>
  </si>
  <si>
    <t>Only Garbage Rips 😬 | Paldea Evolved Blister Pack #PokemonShorts #PokemonTCG #PaldeaEvolved</t>
  </si>
  <si>
    <t>2026-02-07</t>
  </si>
  <si>
    <t>Blister  Paldea Evolved</t>
  </si>
  <si>
    <t>Only Garbage Rips 😬 | Phantasmal Flames Blister Packs</t>
  </si>
  <si>
    <t>2026-02-06</t>
  </si>
  <si>
    <t>Phantasmal Flames - Mega Lopunny ex - Double Black Star - Double Rare</t>
  </si>
  <si>
    <t>Hits</t>
  </si>
  <si>
    <t>Only Garbage Rips 😬 | Kyogre Knock Out Collection</t>
  </si>
  <si>
    <t>2026-02-05</t>
  </si>
  <si>
    <t>Surging Sparks - Feebas - Single Gold Star - Illustration Rare</t>
  </si>
  <si>
    <t>41vJCIdzYkw</t>
  </si>
  <si>
    <t>Only Garbage Rips 😬 Suicune Knock Out Collection #pokemon #pokemoncards #pokemontcg #PokemonShorts</t>
  </si>
  <si>
    <t>2026-02-04</t>
  </si>
  <si>
    <t>Only Garbage Rips 😬 | Paradox Rift Blister Packs</t>
  </si>
  <si>
    <t>2026-02-03</t>
  </si>
  <si>
    <t>Blister  Paradox Rift</t>
  </si>
  <si>
    <t>Blister Pack</t>
  </si>
  <si>
    <t>Paradox Rift - Tsareena ex - Double Black Star - Double Rare</t>
  </si>
  <si>
    <t>Only Garbage Rips from the Mega Kangaskhan ex Box</t>
  </si>
  <si>
    <t>2026-02-02</t>
  </si>
  <si>
    <t>1:07</t>
  </si>
  <si>
    <t>Mega Kangaskhan ex - Black Star Promo, Mega Evolution - Spearow - Single Gold Star - Illustration Rare</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</si>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</sst>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0">
    <font>
      <sz val="11.0"/>
      <color theme="1"/>
      <name val="Calibri"/>
      <scheme val="minor"/>
    </font>
    <font>
      <b/>
      <sz val="10.0"/>
      <color theme="1"/>
      <name val="Arial"/>
    </font>
    <font>
      <b/>
      <sz val="14.0"/>
      <color theme="1"/>
      <name val="Arial"/>
    </font>
    <font>
      <sz val="10.0"/>
      <color theme="1"/>
      <name val="Arial"/>
    </font>
    <font>
      <sz val="10.0"/>
      <color rgb="FF666666"/>
      <name val="Arial"/>
    </font>
    <font>
      <i/>
      <sz val="10.0"/>
      <color rgb="FF555555"/>
      <name val="Arial"/>
    </font>
    <font>
      <u/>
      <sz val="10.0"/>
      <color rgb="FF0563C1"/>
      <name val="Arial"/>
    </font>
    <font>
      <sz val="10.0"/>
      <color rgb="FF0000FF"/>
      <name val="Arial"/>
    </font>
    <font>
      <color theme="1"/>
      <name val="Calibri"/>
      <scheme val="minor"/>
    </font>
    <font>
      <sz val="12.0"/>
      <color rgb="FF000000"/>
      <name val="Arial"/>
    </font>
  </fonts>
  <fills count="5">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2" numFmtId="0" xfId="0" applyFont="1"/>
    <xf borderId="1" fillId="3" fontId="1" numFmtId="0" xfId="0" applyBorder="1" applyFill="1" applyFont="1"/>
    <xf borderId="0" fillId="0" fontId="3" numFmtId="0" xfId="0" applyFont="1"/>
    <xf borderId="0" fillId="0" fontId="3" numFmtId="0" xfId="0" applyAlignment="1" applyFont="1">
      <alignment shrinkToFit="0" vertical="top" wrapText="1"/>
    </xf>
    <xf borderId="1" fillId="2" fontId="1" numFmtId="0" xfId="0" applyAlignment="1" applyBorder="1" applyFill="1" applyFont="1">
      <alignment shrinkToFit="0" vertical="center" wrapText="1"/>
    </xf>
    <xf borderId="1" fillId="0" fontId="4" numFmtId="0" xfId="0" applyBorder="1" applyFont="1"/>
    <xf borderId="1" fillId="3" fontId="1" numFmtId="0" xfId="0" applyAlignment="1" applyBorder="1" applyFill="1" applyFont="1">
      <alignment shrinkToFit="0" vertical="center" wrapText="1"/>
    </xf>
    <xf borderId="1" fillId="0" fontId="3" numFmtId="0" xfId="0" applyBorder="1" applyFont="1"/>
    <xf borderId="0" fillId="0" fontId="1" numFmtId="0" xfId="0" applyAlignment="1" applyFont="1">
      <alignment shrinkToFit="0" vertical="top" wrapText="1"/>
    </xf>
    <xf borderId="1" fillId="4" fontId="1" numFmtId="0" xfId="0" applyAlignment="1" applyBorder="1" applyFill="1" applyFont="1">
      <alignment shrinkToFit="0" vertical="center" wrapText="1"/>
    </xf>
    <xf borderId="0" fillId="0" fontId="5" numFmtId="0" xfId="0" applyFont="1"/>
    <xf borderId="0" fillId="0" fontId="5" numFmtId="0" xfId="0" applyAlignment="1" applyFont="1">
      <alignment shrinkToFit="0" vertical="top" wrapText="1"/>
    </xf>
    <xf borderId="1" fillId="0" fontId="4" numFmtId="0" xfId="0" applyAlignment="1" applyBorder="1" applyFont="1">
      <alignment horizontal="right"/>
    </xf>
    <xf borderId="1" fillId="0" fontId="6" numFmtId="0" xfId="0" applyBorder="1" applyFont="1"/>
    <xf borderId="1" fillId="0" fontId="4" numFmtId="0" xfId="0" applyAlignment="1" applyBorder="1" applyFont="1">
      <alignment vertical="center"/>
    </xf>
    <xf borderId="1" fillId="0" fontId="3" numFmtId="0" xfId="0" applyAlignment="1" applyBorder="1" applyFont="1">
      <alignment readingOrder="0"/>
    </xf>
    <xf borderId="0" fillId="0" fontId="1" numFmtId="0" xfId="0" applyAlignment="1" applyFont="1">
      <alignment horizontal="right"/>
    </xf>
    <xf borderId="1" fillId="0" fontId="4" numFmtId="164" xfId="0" applyBorder="1" applyFont="1" applyNumberFormat="1"/>
    <xf borderId="1" fillId="0" fontId="3" numFmtId="164" xfId="0" applyBorder="1" applyFont="1" applyNumberFormat="1"/>
    <xf borderId="1" fillId="0" fontId="7" numFmtId="0" xfId="0" applyBorder="1" applyFont="1"/>
    <xf borderId="1" fillId="0" fontId="3" numFmtId="165" xfId="0" applyBorder="1" applyFont="1" applyNumberFormat="1"/>
    <xf borderId="0" fillId="0" fontId="8" numFmtId="0" xfId="0" applyFont="1"/>
    <xf borderId="0" fillId="0" fontId="9" numFmtId="0" xfId="0" applyAlignment="1" applyFont="1">
      <alignment readingOrder="0"/>
    </xf>
    <xf borderId="0" fillId="0" fontId="8" numFmtId="0" xfId="0" applyAlignment="1" applyFont="1">
      <alignment readingOrder="0"/>
    </xf>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3" t="s">
        <v>1</v>
      </c>
    </row>
    <row r="3" ht="30.0" customHeight="1">
      <c r="A3" s="1" t="s">
        <v>21</v>
      </c>
      <c r="B3" s="6" t="s">
        <v>23</v>
      </c>
    </row>
    <row r="5" ht="30.0" customHeight="1">
      <c r="A5" s="1" t="s">
        <v>29</v>
      </c>
      <c r="B5" s="6" t="s">
        <v>33</v>
      </c>
    </row>
    <row r="6" ht="30.0" customHeight="1">
      <c r="A6" s="1" t="s">
        <v>37</v>
      </c>
      <c r="B6" s="6" t="s">
        <v>40</v>
      </c>
    </row>
    <row r="7">
      <c r="A7" s="1" t="s">
        <v>41</v>
      </c>
      <c r="B7" s="6" t="s">
        <v>44</v>
      </c>
    </row>
    <row r="8" ht="30.0" customHeight="1">
      <c r="A8" s="1" t="s">
        <v>47</v>
      </c>
      <c r="B8" s="6" t="s">
        <v>52</v>
      </c>
    </row>
    <row r="9" ht="30.0" customHeight="1">
      <c r="A9" s="1" t="s">
        <v>60</v>
      </c>
      <c r="B9" s="6" t="s">
        <v>62</v>
      </c>
    </row>
    <row r="10" ht="30.0" customHeight="1">
      <c r="A10" s="1" t="s">
        <v>65</v>
      </c>
      <c r="B10" s="6" t="s">
        <v>69</v>
      </c>
    </row>
    <row r="11" ht="30.0" customHeight="1">
      <c r="A11" s="1" t="s">
        <v>72</v>
      </c>
      <c r="B11" s="6" t="s">
        <v>75</v>
      </c>
    </row>
    <row r="13">
      <c r="A13" s="1" t="s">
        <v>79</v>
      </c>
    </row>
    <row r="14">
      <c r="A14" s="1" t="s">
        <v>80</v>
      </c>
      <c r="B14" s="6" t="s">
        <v>82</v>
      </c>
    </row>
    <row r="15" ht="30.0" customHeight="1">
      <c r="A15" s="1" t="s">
        <v>85</v>
      </c>
      <c r="B15" s="6" t="s">
        <v>87</v>
      </c>
    </row>
    <row r="16" ht="30.0" customHeight="1">
      <c r="A16" s="1" t="s">
        <v>90</v>
      </c>
      <c r="B16" s="6" t="s">
        <v>93</v>
      </c>
    </row>
    <row r="17">
      <c r="A17" s="1" t="s">
        <v>96</v>
      </c>
      <c r="B17" s="6" t="s">
        <v>97</v>
      </c>
    </row>
    <row r="18">
      <c r="A18" s="1" t="s">
        <v>100</v>
      </c>
      <c r="B18" s="6" t="s">
        <v>102</v>
      </c>
    </row>
    <row r="19">
      <c r="A19" s="1" t="s">
        <v>105</v>
      </c>
      <c r="B19" s="6" t="s">
        <v>107</v>
      </c>
    </row>
    <row r="21" ht="30.0" customHeight="1">
      <c r="A21" s="1" t="s">
        <v>111</v>
      </c>
      <c r="B21" s="11" t="s">
        <v>114</v>
      </c>
    </row>
    <row r="22" ht="15.75" customHeight="1">
      <c r="A22" s="1" t="s">
        <v>80</v>
      </c>
      <c r="B22" s="6" t="s">
        <v>124</v>
      </c>
    </row>
    <row r="23" ht="15.75" customHeight="1">
      <c r="A23" s="1" t="s">
        <v>90</v>
      </c>
      <c r="B23" s="6" t="s">
        <v>129</v>
      </c>
    </row>
    <row r="24" ht="15.75" customHeight="1">
      <c r="A24" s="1" t="s">
        <v>96</v>
      </c>
      <c r="B24" s="6" t="s">
        <v>129</v>
      </c>
    </row>
    <row r="25" ht="15.75" customHeight="1">
      <c r="B25" s="6" t="s">
        <v>134</v>
      </c>
    </row>
    <row r="26" ht="15.75" customHeight="1"/>
    <row r="27" ht="30.0" customHeight="1">
      <c r="A27" s="1" t="s">
        <v>140</v>
      </c>
      <c r="B27" s="6" t="s">
        <v>142</v>
      </c>
    </row>
    <row r="28" ht="15.75" customHeight="1"/>
    <row r="29" ht="30.0" customHeight="1">
      <c r="A29" s="1" t="s">
        <v>144</v>
      </c>
      <c r="B29" s="6" t="s">
        <v>150</v>
      </c>
    </row>
    <row r="30" ht="15.75" customHeight="1"/>
    <row r="31" ht="30.0" customHeight="1">
      <c r="A31" s="1" t="s">
        <v>154</v>
      </c>
      <c r="B31" s="6" t="s">
        <v>158</v>
      </c>
    </row>
    <row r="32" ht="15.75" customHeight="1"/>
    <row r="33" ht="30.0" customHeight="1">
      <c r="A33" s="1" t="s">
        <v>160</v>
      </c>
      <c r="B33" s="6" t="s">
        <v>165</v>
      </c>
    </row>
    <row r="34" ht="15.75" customHeight="1"/>
    <row r="35" ht="30.0" customHeight="1">
      <c r="A35" s="1" t="s">
        <v>30</v>
      </c>
      <c r="B35" s="6" t="s">
        <v>170</v>
      </c>
    </row>
    <row r="36" ht="15.75" customHeight="1"/>
    <row r="37" ht="30.0" customHeight="1">
      <c r="A37" s="1" t="s">
        <v>173</v>
      </c>
      <c r="B37" s="6" t="s">
        <v>175</v>
      </c>
    </row>
    <row r="38" ht="15.75" customHeight="1"/>
    <row r="39" ht="30.0" customHeight="1">
      <c r="A39" s="1" t="s">
        <v>179</v>
      </c>
      <c r="B39" s="6" t="s">
        <v>182</v>
      </c>
    </row>
    <row r="40" ht="15.75" customHeight="1"/>
    <row r="41" ht="30.0" customHeight="1">
      <c r="A41" s="13" t="s">
        <v>187</v>
      </c>
      <c r="B41" s="14" t="s">
        <v>193</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1" t="s">
        <v>0</v>
      </c>
      <c r="B1" s="1" t="s">
        <v>3</v>
      </c>
      <c r="C1" s="1" t="s">
        <v>4</v>
      </c>
      <c r="D1" s="1" t="s">
        <v>5</v>
      </c>
      <c r="E1" s="1" t="s">
        <v>6</v>
      </c>
      <c r="F1" s="1" t="s">
        <v>7</v>
      </c>
      <c r="G1" s="1" t="s">
        <v>8</v>
      </c>
      <c r="H1" s="1" t="s">
        <v>9</v>
      </c>
      <c r="I1" s="1" t="s">
        <v>10</v>
      </c>
      <c r="J1" s="1" t="s">
        <v>12</v>
      </c>
      <c r="K1" s="1" t="s">
        <v>14</v>
      </c>
      <c r="L1" s="1" t="s">
        <v>16</v>
      </c>
      <c r="M1" s="1" t="s">
        <v>18</v>
      </c>
    </row>
    <row r="2">
      <c r="A2" s="5" t="s">
        <v>20</v>
      </c>
      <c r="B2" s="5" t="s">
        <v>25</v>
      </c>
      <c r="C2" s="5" t="s">
        <v>27</v>
      </c>
      <c r="D2" s="5" t="s">
        <v>28</v>
      </c>
      <c r="E2" s="5" t="s">
        <v>30</v>
      </c>
      <c r="F2" s="5" t="s">
        <v>31</v>
      </c>
      <c r="G2" s="5" t="s">
        <v>34</v>
      </c>
      <c r="H2" s="5" t="s">
        <v>35</v>
      </c>
      <c r="I2" s="5" t="s">
        <v>36</v>
      </c>
      <c r="J2" s="5" t="s">
        <v>38</v>
      </c>
      <c r="K2" s="5" t="s">
        <v>39</v>
      </c>
      <c r="L2" s="5" t="s">
        <v>39</v>
      </c>
      <c r="M2" s="5" t="s">
        <v>39</v>
      </c>
    </row>
    <row r="3">
      <c r="A3" s="5" t="s">
        <v>42</v>
      </c>
      <c r="B3" s="5" t="s">
        <v>43</v>
      </c>
      <c r="C3" s="5" t="s">
        <v>45</v>
      </c>
      <c r="D3" s="5" t="s">
        <v>48</v>
      </c>
      <c r="E3" s="5" t="s">
        <v>51</v>
      </c>
      <c r="F3" s="5" t="s">
        <v>53</v>
      </c>
      <c r="G3" s="5" t="s">
        <v>55</v>
      </c>
      <c r="H3" s="5" t="s">
        <v>56</v>
      </c>
      <c r="I3" s="5" t="s">
        <v>57</v>
      </c>
      <c r="J3" s="5" t="s">
        <v>59</v>
      </c>
      <c r="K3" s="5" t="s">
        <v>61</v>
      </c>
      <c r="L3" s="5" t="s">
        <v>61</v>
      </c>
      <c r="M3" s="5" t="s">
        <v>61</v>
      </c>
    </row>
    <row r="4">
      <c r="A4" s="5" t="s">
        <v>64</v>
      </c>
      <c r="B4" s="5" t="s">
        <v>66</v>
      </c>
      <c r="C4" s="5" t="s">
        <v>68</v>
      </c>
      <c r="E4" s="5" t="s">
        <v>70</v>
      </c>
      <c r="F4" s="5" t="s">
        <v>71</v>
      </c>
      <c r="G4" s="5" t="s">
        <v>73</v>
      </c>
      <c r="H4" s="5" t="s">
        <v>74</v>
      </c>
      <c r="I4" s="5" t="s">
        <v>76</v>
      </c>
      <c r="J4" s="5" t="s">
        <v>77</v>
      </c>
      <c r="K4" s="5" t="s">
        <v>78</v>
      </c>
      <c r="L4" s="5" t="s">
        <v>78</v>
      </c>
      <c r="M4" s="5" t="s">
        <v>78</v>
      </c>
    </row>
    <row r="5">
      <c r="A5" s="5" t="s">
        <v>81</v>
      </c>
      <c r="B5" s="5" t="s">
        <v>83</v>
      </c>
      <c r="C5" s="5" t="s">
        <v>84</v>
      </c>
      <c r="E5" s="5" t="s">
        <v>59</v>
      </c>
      <c r="F5" s="5" t="s">
        <v>86</v>
      </c>
      <c r="G5" s="5" t="s">
        <v>88</v>
      </c>
      <c r="H5" s="5" t="s">
        <v>89</v>
      </c>
      <c r="I5" s="5" t="s">
        <v>91</v>
      </c>
      <c r="J5" s="5" t="s">
        <v>92</v>
      </c>
      <c r="K5" s="5" t="s">
        <v>95</v>
      </c>
      <c r="L5" s="5" t="s">
        <v>95</v>
      </c>
      <c r="M5" s="5" t="s">
        <v>95</v>
      </c>
    </row>
    <row r="6">
      <c r="A6" s="5" t="s">
        <v>98</v>
      </c>
      <c r="B6" s="5" t="s">
        <v>99</v>
      </c>
      <c r="C6" s="5" t="s">
        <v>101</v>
      </c>
      <c r="E6" s="5" t="s">
        <v>103</v>
      </c>
      <c r="F6" s="5" t="s">
        <v>104</v>
      </c>
      <c r="G6" s="5" t="s">
        <v>106</v>
      </c>
      <c r="H6" s="5" t="s">
        <v>108</v>
      </c>
      <c r="I6" s="5" t="s">
        <v>109</v>
      </c>
      <c r="J6" s="5" t="s">
        <v>110</v>
      </c>
      <c r="K6" s="5" t="s">
        <v>112</v>
      </c>
      <c r="L6" s="5" t="s">
        <v>112</v>
      </c>
      <c r="M6" s="5" t="s">
        <v>112</v>
      </c>
    </row>
    <row r="7">
      <c r="A7" s="5" t="s">
        <v>115</v>
      </c>
      <c r="B7" s="5" t="s">
        <v>116</v>
      </c>
      <c r="C7" s="5" t="s">
        <v>118</v>
      </c>
      <c r="E7" s="5" t="s">
        <v>119</v>
      </c>
      <c r="F7" s="5" t="s">
        <v>121</v>
      </c>
      <c r="G7" s="5" t="s">
        <v>122</v>
      </c>
      <c r="H7" s="5" t="s">
        <v>125</v>
      </c>
      <c r="I7" s="5" t="s">
        <v>126</v>
      </c>
      <c r="J7" s="5" t="s">
        <v>127</v>
      </c>
      <c r="K7" s="5" t="s">
        <v>128</v>
      </c>
      <c r="L7" s="5" t="s">
        <v>128</v>
      </c>
      <c r="M7" s="5" t="s">
        <v>128</v>
      </c>
    </row>
    <row r="8">
      <c r="A8" s="5" t="s">
        <v>130</v>
      </c>
      <c r="B8" s="5" t="s">
        <v>131</v>
      </c>
      <c r="C8" s="5" t="s">
        <v>133</v>
      </c>
      <c r="F8" s="5" t="s">
        <v>135</v>
      </c>
      <c r="G8" s="5" t="s">
        <v>137</v>
      </c>
      <c r="H8" s="5" t="s">
        <v>139</v>
      </c>
      <c r="I8" s="5" t="s">
        <v>141</v>
      </c>
      <c r="J8" s="5" t="s">
        <v>103</v>
      </c>
      <c r="K8" s="5" t="s">
        <v>143</v>
      </c>
      <c r="L8" s="5" t="s">
        <v>143</v>
      </c>
      <c r="M8" s="5" t="s">
        <v>143</v>
      </c>
    </row>
    <row r="9">
      <c r="A9" s="5" t="s">
        <v>146</v>
      </c>
      <c r="B9" s="5" t="s">
        <v>147</v>
      </c>
      <c r="C9" s="5" t="s">
        <v>149</v>
      </c>
      <c r="F9" s="5" t="s">
        <v>152</v>
      </c>
      <c r="G9" s="5" t="s">
        <v>153</v>
      </c>
      <c r="I9" s="5" t="s">
        <v>155</v>
      </c>
      <c r="J9" s="5" t="s">
        <v>156</v>
      </c>
      <c r="K9" s="5" t="s">
        <v>157</v>
      </c>
      <c r="L9" s="5" t="s">
        <v>157</v>
      </c>
      <c r="M9" s="5" t="s">
        <v>157</v>
      </c>
    </row>
    <row r="10">
      <c r="A10" s="5" t="s">
        <v>161</v>
      </c>
      <c r="B10" s="5" t="s">
        <v>162</v>
      </c>
      <c r="C10" s="5" t="s">
        <v>164</v>
      </c>
      <c r="F10" s="5" t="s">
        <v>166</v>
      </c>
      <c r="G10" s="5" t="s">
        <v>167</v>
      </c>
      <c r="I10" s="5" t="s">
        <v>168</v>
      </c>
      <c r="J10" s="5" t="s">
        <v>169</v>
      </c>
      <c r="K10" s="5" t="s">
        <v>171</v>
      </c>
      <c r="L10" s="5" t="s">
        <v>171</v>
      </c>
      <c r="M10" s="5" t="s">
        <v>171</v>
      </c>
    </row>
    <row r="11">
      <c r="A11" s="5" t="s">
        <v>177</v>
      </c>
      <c r="B11" s="5" t="s">
        <v>178</v>
      </c>
      <c r="C11" s="5" t="s">
        <v>181</v>
      </c>
      <c r="F11" s="5" t="s">
        <v>185</v>
      </c>
      <c r="G11" s="5" t="s">
        <v>189</v>
      </c>
      <c r="I11" s="5" t="s">
        <v>191</v>
      </c>
      <c r="J11" s="5" t="s">
        <v>192</v>
      </c>
      <c r="K11" s="5" t="s">
        <v>196</v>
      </c>
      <c r="L11" s="5" t="s">
        <v>196</v>
      </c>
      <c r="M11" s="5" t="s">
        <v>196</v>
      </c>
    </row>
    <row r="12">
      <c r="A12" s="5" t="s">
        <v>199</v>
      </c>
      <c r="B12" s="5" t="s">
        <v>200</v>
      </c>
      <c r="C12" s="5" t="s">
        <v>201</v>
      </c>
      <c r="F12" s="5" t="s">
        <v>202</v>
      </c>
      <c r="G12" s="5" t="s">
        <v>204</v>
      </c>
      <c r="I12" s="5" t="s">
        <v>205</v>
      </c>
      <c r="K12" s="5" t="s">
        <v>207</v>
      </c>
      <c r="L12" s="5" t="s">
        <v>207</v>
      </c>
      <c r="M12" s="5" t="s">
        <v>207</v>
      </c>
    </row>
    <row r="13">
      <c r="A13" s="5" t="s">
        <v>209</v>
      </c>
      <c r="B13" s="5" t="s">
        <v>210</v>
      </c>
      <c r="C13" s="5" t="s">
        <v>212</v>
      </c>
      <c r="F13" s="5" t="s">
        <v>161</v>
      </c>
      <c r="G13" s="5" t="s">
        <v>215</v>
      </c>
      <c r="K13" s="5" t="s">
        <v>217</v>
      </c>
      <c r="L13" s="5" t="s">
        <v>217</v>
      </c>
      <c r="M13" s="5" t="s">
        <v>217</v>
      </c>
    </row>
    <row r="14">
      <c r="A14" s="5" t="s">
        <v>218</v>
      </c>
      <c r="B14" s="5" t="s">
        <v>219</v>
      </c>
      <c r="F14" s="5" t="s">
        <v>220</v>
      </c>
      <c r="G14" s="5" t="s">
        <v>222</v>
      </c>
      <c r="K14" s="5" t="s">
        <v>223</v>
      </c>
      <c r="L14" s="5" t="s">
        <v>223</v>
      </c>
      <c r="M14" s="5" t="s">
        <v>223</v>
      </c>
    </row>
    <row r="15">
      <c r="A15" s="5" t="s">
        <v>225</v>
      </c>
      <c r="B15" s="5" t="s">
        <v>226</v>
      </c>
      <c r="F15" s="5" t="s">
        <v>227</v>
      </c>
      <c r="G15" s="5" t="s">
        <v>229</v>
      </c>
      <c r="K15" s="5" t="s">
        <v>231</v>
      </c>
      <c r="L15" s="5" t="s">
        <v>231</v>
      </c>
      <c r="M15" s="5" t="s">
        <v>231</v>
      </c>
    </row>
    <row r="16">
      <c r="A16" s="5" t="s">
        <v>233</v>
      </c>
      <c r="B16" s="5" t="s">
        <v>234</v>
      </c>
      <c r="F16" s="5" t="s">
        <v>235</v>
      </c>
      <c r="G16" s="5" t="s">
        <v>236</v>
      </c>
      <c r="K16" s="5" t="s">
        <v>237</v>
      </c>
      <c r="L16" s="5" t="s">
        <v>237</v>
      </c>
      <c r="M16" s="5" t="s">
        <v>237</v>
      </c>
    </row>
    <row r="17">
      <c r="A17" s="5" t="s">
        <v>240</v>
      </c>
      <c r="B17" s="5" t="s">
        <v>241</v>
      </c>
      <c r="F17" s="5" t="s">
        <v>242</v>
      </c>
      <c r="G17" s="5" t="s">
        <v>243</v>
      </c>
      <c r="K17" s="5" t="s">
        <v>244</v>
      </c>
      <c r="L17" s="5" t="s">
        <v>244</v>
      </c>
      <c r="M17" s="5" t="s">
        <v>244</v>
      </c>
    </row>
    <row r="18">
      <c r="A18" s="5" t="s">
        <v>246</v>
      </c>
      <c r="B18" s="5" t="s">
        <v>248</v>
      </c>
      <c r="F18" s="5" t="s">
        <v>249</v>
      </c>
      <c r="G18" s="5" t="s">
        <v>250</v>
      </c>
      <c r="K18" s="5" t="s">
        <v>251</v>
      </c>
      <c r="L18" s="5" t="s">
        <v>251</v>
      </c>
      <c r="M18" s="5" t="s">
        <v>251</v>
      </c>
    </row>
    <row r="19">
      <c r="A19" s="5" t="s">
        <v>252</v>
      </c>
      <c r="B19" s="5" t="s">
        <v>139</v>
      </c>
      <c r="F19" s="5" t="s">
        <v>254</v>
      </c>
      <c r="G19" s="5" t="s">
        <v>256</v>
      </c>
      <c r="K19" s="5" t="s">
        <v>257</v>
      </c>
      <c r="L19" s="5" t="s">
        <v>257</v>
      </c>
      <c r="M19" s="5" t="s">
        <v>257</v>
      </c>
    </row>
    <row r="20">
      <c r="A20" s="5" t="s">
        <v>258</v>
      </c>
      <c r="F20" s="5" t="s">
        <v>259</v>
      </c>
      <c r="G20" s="5" t="s">
        <v>260</v>
      </c>
      <c r="K20" s="5" t="s">
        <v>262</v>
      </c>
      <c r="L20" s="5" t="s">
        <v>262</v>
      </c>
      <c r="M20" s="5" t="s">
        <v>262</v>
      </c>
    </row>
    <row r="21" ht="15.75" customHeight="1">
      <c r="A21" s="5" t="s">
        <v>264</v>
      </c>
      <c r="F21" s="5" t="s">
        <v>265</v>
      </c>
      <c r="G21" s="5" t="s">
        <v>266</v>
      </c>
      <c r="K21" s="5" t="s">
        <v>267</v>
      </c>
      <c r="L21" s="5" t="s">
        <v>267</v>
      </c>
      <c r="M21" s="5" t="s">
        <v>267</v>
      </c>
    </row>
    <row r="22" ht="15.75" customHeight="1">
      <c r="A22" s="5" t="s">
        <v>270</v>
      </c>
      <c r="F22" s="5" t="s">
        <v>271</v>
      </c>
      <c r="G22" s="5" t="s">
        <v>272</v>
      </c>
      <c r="L22" s="5" t="s">
        <v>273</v>
      </c>
      <c r="M22" s="5" t="s">
        <v>273</v>
      </c>
    </row>
    <row r="23" ht="15.75" customHeight="1">
      <c r="A23" s="5" t="s">
        <v>274</v>
      </c>
      <c r="F23" s="5" t="s">
        <v>275</v>
      </c>
      <c r="G23" s="5" t="s">
        <v>276</v>
      </c>
      <c r="L23" s="5" t="s">
        <v>278</v>
      </c>
      <c r="M23" s="5" t="s">
        <v>278</v>
      </c>
    </row>
    <row r="24" ht="15.75" customHeight="1">
      <c r="A24" s="5" t="s">
        <v>280</v>
      </c>
      <c r="F24" s="5" t="s">
        <v>281</v>
      </c>
      <c r="G24" s="5" t="s">
        <v>282</v>
      </c>
      <c r="L24" s="5" t="s">
        <v>283</v>
      </c>
      <c r="M24" s="5" t="s">
        <v>283</v>
      </c>
    </row>
    <row r="25" ht="15.75" customHeight="1">
      <c r="A25" s="5" t="s">
        <v>284</v>
      </c>
      <c r="F25" s="5" t="s">
        <v>285</v>
      </c>
      <c r="G25" s="5" t="s">
        <v>286</v>
      </c>
      <c r="L25" s="5" t="s">
        <v>287</v>
      </c>
      <c r="M25" s="5" t="s">
        <v>287</v>
      </c>
    </row>
    <row r="26" ht="15.75" customHeight="1">
      <c r="A26" s="5" t="s">
        <v>289</v>
      </c>
      <c r="F26" s="5" t="s">
        <v>290</v>
      </c>
      <c r="G26" s="5" t="s">
        <v>291</v>
      </c>
      <c r="L26" s="5" t="s">
        <v>292</v>
      </c>
      <c r="M26" s="5" t="s">
        <v>292</v>
      </c>
    </row>
    <row r="27" ht="15.75" customHeight="1">
      <c r="A27" s="5" t="s">
        <v>294</v>
      </c>
      <c r="F27" s="5" t="s">
        <v>296</v>
      </c>
      <c r="G27" s="5" t="s">
        <v>297</v>
      </c>
      <c r="L27" s="5" t="s">
        <v>298</v>
      </c>
      <c r="M27" s="5" t="s">
        <v>298</v>
      </c>
    </row>
    <row r="28" ht="15.75" customHeight="1">
      <c r="A28" s="5" t="s">
        <v>299</v>
      </c>
      <c r="F28" s="5" t="s">
        <v>300</v>
      </c>
      <c r="G28" s="5" t="s">
        <v>302</v>
      </c>
      <c r="L28" s="5" t="s">
        <v>304</v>
      </c>
      <c r="M28" s="5" t="s">
        <v>304</v>
      </c>
    </row>
    <row r="29" ht="15.75" customHeight="1">
      <c r="A29" s="5" t="s">
        <v>306</v>
      </c>
      <c r="F29" s="5" t="s">
        <v>307</v>
      </c>
      <c r="G29" s="5" t="s">
        <v>308</v>
      </c>
      <c r="L29" s="5" t="s">
        <v>309</v>
      </c>
      <c r="M29" s="5" t="s">
        <v>309</v>
      </c>
    </row>
    <row r="30" ht="15.75" customHeight="1">
      <c r="A30" s="5" t="s">
        <v>311</v>
      </c>
      <c r="F30" s="5" t="s">
        <v>312</v>
      </c>
      <c r="G30" s="5" t="s">
        <v>313</v>
      </c>
      <c r="L30" s="5" t="s">
        <v>316</v>
      </c>
      <c r="M30" s="5" t="s">
        <v>316</v>
      </c>
    </row>
    <row r="31" ht="15.75" customHeight="1">
      <c r="A31" s="5" t="s">
        <v>317</v>
      </c>
      <c r="F31" s="5" t="s">
        <v>318</v>
      </c>
      <c r="G31" s="5" t="s">
        <v>319</v>
      </c>
      <c r="L31" s="5" t="s">
        <v>321</v>
      </c>
      <c r="M31" s="5" t="s">
        <v>321</v>
      </c>
    </row>
    <row r="32" ht="15.75" customHeight="1">
      <c r="A32" s="5" t="s">
        <v>323</v>
      </c>
      <c r="G32" s="5" t="s">
        <v>324</v>
      </c>
      <c r="M32" s="5" t="s">
        <v>325</v>
      </c>
    </row>
    <row r="33" ht="15.75" customHeight="1">
      <c r="A33" s="5" t="s">
        <v>326</v>
      </c>
      <c r="G33" s="5" t="s">
        <v>328</v>
      </c>
      <c r="M33" s="5" t="s">
        <v>329</v>
      </c>
    </row>
    <row r="34" ht="15.75" customHeight="1">
      <c r="A34" s="5" t="s">
        <v>331</v>
      </c>
      <c r="G34" s="5" t="s">
        <v>332</v>
      </c>
      <c r="M34" s="5" t="s">
        <v>333</v>
      </c>
    </row>
    <row r="35" ht="15.75" customHeight="1">
      <c r="A35" s="5" t="s">
        <v>334</v>
      </c>
      <c r="G35" s="5" t="s">
        <v>336</v>
      </c>
      <c r="M35" s="5" t="s">
        <v>337</v>
      </c>
    </row>
    <row r="36" ht="15.75" customHeight="1">
      <c r="A36" s="5" t="s">
        <v>339</v>
      </c>
      <c r="G36" s="5" t="s">
        <v>340</v>
      </c>
      <c r="M36" s="5" t="s">
        <v>341</v>
      </c>
    </row>
    <row r="37" ht="15.75" customHeight="1">
      <c r="A37" s="5" t="s">
        <v>342</v>
      </c>
      <c r="G37" s="5" t="s">
        <v>343</v>
      </c>
      <c r="M37" s="5" t="s">
        <v>345</v>
      </c>
    </row>
    <row r="38" ht="15.75" customHeight="1">
      <c r="A38" s="5" t="s">
        <v>348</v>
      </c>
      <c r="G38" s="5" t="s">
        <v>349</v>
      </c>
    </row>
    <row r="39" ht="15.75" customHeight="1">
      <c r="A39" s="5" t="s">
        <v>351</v>
      </c>
      <c r="G39" s="5" t="s">
        <v>352</v>
      </c>
    </row>
    <row r="40" ht="15.75" customHeight="1">
      <c r="A40" s="5" t="s">
        <v>355</v>
      </c>
      <c r="G40" s="5" t="s">
        <v>357</v>
      </c>
    </row>
    <row r="41" ht="15.75" customHeight="1">
      <c r="A41" s="5" t="s">
        <v>359</v>
      </c>
      <c r="G41" s="5" t="s">
        <v>360</v>
      </c>
    </row>
    <row r="42" ht="15.75" customHeight="1">
      <c r="A42" s="5" t="s">
        <v>362</v>
      </c>
      <c r="G42" s="5" t="s">
        <v>363</v>
      </c>
    </row>
    <row r="43" ht="15.75" customHeight="1">
      <c r="A43" s="5" t="s">
        <v>365</v>
      </c>
      <c r="G43" s="5" t="s">
        <v>366</v>
      </c>
    </row>
    <row r="44" ht="15.75" customHeight="1">
      <c r="A44" s="5" t="s">
        <v>367</v>
      </c>
      <c r="G44" s="5" t="s">
        <v>368</v>
      </c>
    </row>
    <row r="45" ht="15.75" customHeight="1">
      <c r="A45" s="5" t="s">
        <v>369</v>
      </c>
      <c r="G45" s="5" t="s">
        <v>371</v>
      </c>
    </row>
    <row r="46" ht="15.75" customHeight="1">
      <c r="A46" s="5" t="s">
        <v>372</v>
      </c>
      <c r="G46" s="5" t="s">
        <v>373</v>
      </c>
    </row>
    <row r="47" ht="15.75" customHeight="1">
      <c r="A47" s="5" t="s">
        <v>374</v>
      </c>
      <c r="G47" s="5" t="s">
        <v>375</v>
      </c>
    </row>
    <row r="48" ht="15.75" customHeight="1">
      <c r="A48" s="5" t="s">
        <v>376</v>
      </c>
      <c r="G48" s="5" t="s">
        <v>377</v>
      </c>
    </row>
    <row r="49" ht="15.75" customHeight="1">
      <c r="A49" s="5" t="s">
        <v>378</v>
      </c>
      <c r="G49" s="5" t="s">
        <v>379</v>
      </c>
    </row>
    <row r="50" ht="15.75" customHeight="1">
      <c r="A50" s="5" t="s">
        <v>380</v>
      </c>
      <c r="G50" s="5" t="s">
        <v>381</v>
      </c>
    </row>
    <row r="51" ht="15.75" customHeight="1">
      <c r="A51" s="5" t="s">
        <v>383</v>
      </c>
      <c r="G51" s="5" t="s">
        <v>384</v>
      </c>
    </row>
    <row r="52" ht="15.75" customHeight="1">
      <c r="A52" s="5" t="s">
        <v>385</v>
      </c>
      <c r="G52" s="5" t="s">
        <v>386</v>
      </c>
    </row>
    <row r="53" ht="15.75" customHeight="1">
      <c r="A53" s="5" t="s">
        <v>387</v>
      </c>
      <c r="G53" s="5" t="s">
        <v>388</v>
      </c>
    </row>
    <row r="54" ht="15.75" customHeight="1">
      <c r="A54" s="5" t="s">
        <v>389</v>
      </c>
      <c r="G54" s="5" t="s">
        <v>390</v>
      </c>
    </row>
    <row r="55" ht="15.75" customHeight="1">
      <c r="A55" s="5" t="s">
        <v>391</v>
      </c>
      <c r="G55" s="5" t="s">
        <v>392</v>
      </c>
    </row>
    <row r="56" ht="15.75" customHeight="1">
      <c r="A56" s="5" t="s">
        <v>393</v>
      </c>
      <c r="G56" s="5" t="s">
        <v>394</v>
      </c>
    </row>
    <row r="57" ht="15.75" customHeight="1">
      <c r="A57" s="5" t="s">
        <v>395</v>
      </c>
      <c r="G57" s="5" t="s">
        <v>396</v>
      </c>
    </row>
    <row r="58" ht="15.75" customHeight="1">
      <c r="A58" s="5" t="s">
        <v>397</v>
      </c>
      <c r="G58" s="5" t="s">
        <v>398</v>
      </c>
    </row>
    <row r="59" ht="15.75" customHeight="1">
      <c r="A59" s="5" t="s">
        <v>399</v>
      </c>
      <c r="G59" s="5" t="s">
        <v>400</v>
      </c>
    </row>
    <row r="60" ht="15.75" customHeight="1">
      <c r="A60" s="5" t="s">
        <v>402</v>
      </c>
      <c r="G60" s="5" t="s">
        <v>403</v>
      </c>
    </row>
    <row r="61" ht="15.75" customHeight="1">
      <c r="A61" s="5" t="s">
        <v>405</v>
      </c>
      <c r="G61" s="5" t="s">
        <v>407</v>
      </c>
    </row>
    <row r="62" ht="15.75" customHeight="1">
      <c r="A62" s="5" t="s">
        <v>408</v>
      </c>
      <c r="G62" s="5" t="s">
        <v>410</v>
      </c>
    </row>
    <row r="63" ht="15.75" customHeight="1">
      <c r="A63" s="5" t="s">
        <v>411</v>
      </c>
      <c r="G63" s="5" t="s">
        <v>412</v>
      </c>
    </row>
    <row r="64" ht="15.75" customHeight="1">
      <c r="A64" s="5" t="s">
        <v>413</v>
      </c>
      <c r="G64" s="5" t="s">
        <v>414</v>
      </c>
    </row>
    <row r="65" ht="15.75" customHeight="1">
      <c r="A65" s="5" t="s">
        <v>415</v>
      </c>
      <c r="G65" s="5" t="s">
        <v>416</v>
      </c>
    </row>
    <row r="66" ht="15.75" customHeight="1">
      <c r="A66" s="5" t="s">
        <v>417</v>
      </c>
      <c r="G66" s="5" t="s">
        <v>418</v>
      </c>
    </row>
    <row r="67" ht="15.75" customHeight="1">
      <c r="A67" s="5" t="s">
        <v>419</v>
      </c>
      <c r="G67" s="5" t="s">
        <v>420</v>
      </c>
    </row>
    <row r="68" ht="15.75" customHeight="1">
      <c r="A68" s="5" t="s">
        <v>421</v>
      </c>
      <c r="G68" s="5" t="s">
        <v>422</v>
      </c>
    </row>
    <row r="69" ht="15.75" customHeight="1">
      <c r="A69" s="5" t="s">
        <v>423</v>
      </c>
      <c r="G69" s="5" t="s">
        <v>424</v>
      </c>
    </row>
    <row r="70" ht="15.75" customHeight="1">
      <c r="A70" s="5" t="s">
        <v>425</v>
      </c>
      <c r="G70" s="5" t="s">
        <v>426</v>
      </c>
    </row>
    <row r="71" ht="15.75" customHeight="1">
      <c r="A71" s="5" t="s">
        <v>427</v>
      </c>
      <c r="G71" s="5" t="s">
        <v>428</v>
      </c>
    </row>
    <row r="72" ht="15.75" customHeight="1">
      <c r="A72" s="5" t="s">
        <v>430</v>
      </c>
      <c r="G72" s="5" t="s">
        <v>431</v>
      </c>
    </row>
    <row r="73" ht="15.75" customHeight="1">
      <c r="A73" s="5" t="s">
        <v>432</v>
      </c>
      <c r="G73" s="5" t="s">
        <v>433</v>
      </c>
    </row>
    <row r="74" ht="15.75" customHeight="1">
      <c r="A74" s="5" t="s">
        <v>434</v>
      </c>
      <c r="G74" s="5" t="s">
        <v>435</v>
      </c>
    </row>
    <row r="75" ht="15.75" customHeight="1">
      <c r="A75" s="5" t="s">
        <v>437</v>
      </c>
      <c r="G75" s="5" t="s">
        <v>438</v>
      </c>
    </row>
    <row r="76" ht="15.75" customHeight="1">
      <c r="A76" s="5" t="s">
        <v>439</v>
      </c>
      <c r="G76" s="5" t="s">
        <v>440</v>
      </c>
    </row>
    <row r="77" ht="15.75" customHeight="1">
      <c r="A77" s="5" t="s">
        <v>441</v>
      </c>
      <c r="G77" s="5" t="s">
        <v>442</v>
      </c>
    </row>
    <row r="78" ht="15.75" customHeight="1">
      <c r="A78" s="5" t="s">
        <v>443</v>
      </c>
      <c r="G78" s="5" t="s">
        <v>444</v>
      </c>
    </row>
    <row r="79" ht="15.75" customHeight="1">
      <c r="A79" s="5" t="s">
        <v>445</v>
      </c>
      <c r="G79" s="5" t="s">
        <v>447</v>
      </c>
    </row>
    <row r="80" ht="15.75" customHeight="1">
      <c r="A80" s="5" t="s">
        <v>449</v>
      </c>
      <c r="G80" s="5" t="s">
        <v>451</v>
      </c>
    </row>
    <row r="81" ht="15.75" customHeight="1">
      <c r="A81" s="5" t="s">
        <v>452</v>
      </c>
      <c r="G81" s="5" t="s">
        <v>453</v>
      </c>
    </row>
    <row r="82" ht="15.75" customHeight="1">
      <c r="A82" s="5" t="s">
        <v>454</v>
      </c>
      <c r="G82" s="5" t="s">
        <v>455</v>
      </c>
    </row>
    <row r="83" ht="15.75" customHeight="1">
      <c r="A83" s="5" t="s">
        <v>456</v>
      </c>
      <c r="G83" s="5" t="s">
        <v>457</v>
      </c>
    </row>
    <row r="84" ht="15.75" customHeight="1">
      <c r="A84" s="5" t="s">
        <v>458</v>
      </c>
      <c r="G84" s="5" t="s">
        <v>459</v>
      </c>
    </row>
    <row r="85" ht="15.75" customHeight="1">
      <c r="A85" s="5" t="s">
        <v>460</v>
      </c>
      <c r="G85" s="5" t="s">
        <v>461</v>
      </c>
    </row>
    <row r="86" ht="15.75" customHeight="1">
      <c r="A86" s="5" t="s">
        <v>462</v>
      </c>
      <c r="G86" s="5" t="s">
        <v>463</v>
      </c>
    </row>
    <row r="87" ht="15.75" customHeight="1">
      <c r="A87" s="5" t="s">
        <v>464</v>
      </c>
      <c r="G87" s="5" t="s">
        <v>465</v>
      </c>
    </row>
    <row r="88" ht="15.75" customHeight="1">
      <c r="A88" s="5" t="s">
        <v>466</v>
      </c>
      <c r="G88" s="5" t="s">
        <v>467</v>
      </c>
    </row>
    <row r="89" ht="15.75" customHeight="1">
      <c r="A89" s="5" t="s">
        <v>469</v>
      </c>
      <c r="G89" s="5" t="s">
        <v>470</v>
      </c>
    </row>
    <row r="90" ht="15.75" customHeight="1">
      <c r="A90" s="5" t="s">
        <v>471</v>
      </c>
      <c r="G90" s="5" t="s">
        <v>472</v>
      </c>
    </row>
    <row r="91" ht="15.75" customHeight="1">
      <c r="A91" s="5" t="s">
        <v>473</v>
      </c>
      <c r="G91" s="5" t="s">
        <v>474</v>
      </c>
    </row>
    <row r="92" ht="15.75" customHeight="1">
      <c r="A92" s="5" t="s">
        <v>475</v>
      </c>
      <c r="G92" s="5" t="s">
        <v>476</v>
      </c>
    </row>
    <row r="93" ht="15.75" customHeight="1">
      <c r="A93" s="5" t="s">
        <v>477</v>
      </c>
      <c r="G93" s="5" t="s">
        <v>478</v>
      </c>
    </row>
    <row r="94" ht="15.75" customHeight="1">
      <c r="A94" s="5" t="s">
        <v>479</v>
      </c>
      <c r="G94" s="5" t="s">
        <v>480</v>
      </c>
    </row>
    <row r="95" ht="15.75" customHeight="1">
      <c r="A95" s="5" t="s">
        <v>481</v>
      </c>
      <c r="G95" s="5" t="s">
        <v>482</v>
      </c>
    </row>
    <row r="96" ht="15.75" customHeight="1">
      <c r="A96" s="5" t="s">
        <v>484</v>
      </c>
      <c r="G96" s="5" t="s">
        <v>485</v>
      </c>
    </row>
    <row r="97" ht="15.75" customHeight="1">
      <c r="A97" s="5" t="s">
        <v>487</v>
      </c>
      <c r="G97" s="5" t="s">
        <v>488</v>
      </c>
    </row>
    <row r="98" ht="15.75" customHeight="1">
      <c r="A98" s="5" t="s">
        <v>490</v>
      </c>
      <c r="G98" s="5" t="s">
        <v>491</v>
      </c>
    </row>
    <row r="99" ht="15.75" customHeight="1">
      <c r="A99" s="5" t="s">
        <v>493</v>
      </c>
      <c r="G99" s="5" t="s">
        <v>494</v>
      </c>
    </row>
    <row r="100" ht="15.75" customHeight="1">
      <c r="A100" s="5" t="s">
        <v>495</v>
      </c>
      <c r="G100" s="5" t="s">
        <v>496</v>
      </c>
    </row>
    <row r="101" ht="15.75" customHeight="1">
      <c r="A101" s="5" t="s">
        <v>497</v>
      </c>
      <c r="G101" s="5" t="s">
        <v>498</v>
      </c>
    </row>
    <row r="102" ht="15.75" customHeight="1">
      <c r="A102" s="5" t="s">
        <v>499</v>
      </c>
      <c r="G102" s="5" t="s">
        <v>500</v>
      </c>
    </row>
    <row r="103" ht="15.75" customHeight="1">
      <c r="A103" s="5" t="s">
        <v>501</v>
      </c>
      <c r="G103" s="5" t="s">
        <v>502</v>
      </c>
    </row>
    <row r="104" ht="15.75" customHeight="1">
      <c r="A104" s="5" t="s">
        <v>503</v>
      </c>
      <c r="G104" s="5" t="s">
        <v>504</v>
      </c>
    </row>
    <row r="105" ht="15.75" customHeight="1">
      <c r="A105" s="5" t="s">
        <v>505</v>
      </c>
      <c r="G105" s="5" t="s">
        <v>506</v>
      </c>
    </row>
    <row r="106" ht="15.75" customHeight="1">
      <c r="A106" s="5" t="s">
        <v>508</v>
      </c>
      <c r="G106" s="5" t="s">
        <v>510</v>
      </c>
    </row>
    <row r="107" ht="15.75" customHeight="1">
      <c r="A107" s="5" t="s">
        <v>511</v>
      </c>
      <c r="G107" s="5" t="s">
        <v>512</v>
      </c>
    </row>
    <row r="108" ht="15.75" customHeight="1">
      <c r="A108" s="5" t="s">
        <v>514</v>
      </c>
      <c r="G108" s="5" t="s">
        <v>515</v>
      </c>
    </row>
    <row r="109" ht="15.75" customHeight="1">
      <c r="A109" s="5" t="s">
        <v>516</v>
      </c>
      <c r="G109" s="5" t="s">
        <v>517</v>
      </c>
    </row>
    <row r="110" ht="15.75" customHeight="1">
      <c r="A110" s="5" t="s">
        <v>518</v>
      </c>
      <c r="G110" s="5" t="s">
        <v>519</v>
      </c>
    </row>
    <row r="111" ht="15.75" customHeight="1">
      <c r="A111" s="5" t="s">
        <v>520</v>
      </c>
      <c r="G111" s="5" t="s">
        <v>521</v>
      </c>
    </row>
    <row r="112" ht="15.75" customHeight="1">
      <c r="A112" s="5" t="s">
        <v>522</v>
      </c>
      <c r="G112" s="5" t="s">
        <v>523</v>
      </c>
    </row>
    <row r="113" ht="15.75" customHeight="1">
      <c r="A113" s="5" t="s">
        <v>524</v>
      </c>
      <c r="G113" s="5" t="s">
        <v>525</v>
      </c>
    </row>
    <row r="114" ht="15.75" customHeight="1">
      <c r="A114" s="5" t="s">
        <v>526</v>
      </c>
      <c r="G114" s="5" t="s">
        <v>528</v>
      </c>
    </row>
    <row r="115" ht="15.75" customHeight="1">
      <c r="A115" s="5" t="s">
        <v>529</v>
      </c>
      <c r="G115" s="5" t="s">
        <v>531</v>
      </c>
    </row>
    <row r="116" ht="15.75" customHeight="1">
      <c r="A116" s="5" t="s">
        <v>533</v>
      </c>
      <c r="G116" s="5" t="s">
        <v>534</v>
      </c>
    </row>
    <row r="117" ht="15.75" customHeight="1">
      <c r="A117" s="5" t="s">
        <v>536</v>
      </c>
      <c r="G117" s="5" t="s">
        <v>537</v>
      </c>
    </row>
    <row r="118" ht="15.75" customHeight="1">
      <c r="A118" s="5" t="s">
        <v>538</v>
      </c>
      <c r="G118" s="5" t="s">
        <v>539</v>
      </c>
    </row>
    <row r="119" ht="15.75" customHeight="1">
      <c r="A119" s="5" t="s">
        <v>540</v>
      </c>
      <c r="G119" s="5" t="s">
        <v>541</v>
      </c>
    </row>
    <row r="120" ht="15.75" customHeight="1">
      <c r="A120" s="5" t="s">
        <v>542</v>
      </c>
      <c r="G120" s="5" t="s">
        <v>543</v>
      </c>
    </row>
    <row r="121" ht="15.75" customHeight="1">
      <c r="A121" s="5" t="s">
        <v>544</v>
      </c>
      <c r="G121" s="5" t="s">
        <v>546</v>
      </c>
    </row>
    <row r="122" ht="15.75" customHeight="1">
      <c r="A122" s="5" t="s">
        <v>547</v>
      </c>
      <c r="G122" s="5" t="s">
        <v>549</v>
      </c>
    </row>
    <row r="123" ht="15.75" customHeight="1">
      <c r="A123" s="5" t="s">
        <v>550</v>
      </c>
      <c r="G123" s="5" t="s">
        <v>551</v>
      </c>
    </row>
    <row r="124" ht="15.75" customHeight="1">
      <c r="A124" s="5" t="s">
        <v>552</v>
      </c>
      <c r="G124" s="5" t="s">
        <v>553</v>
      </c>
    </row>
    <row r="125" ht="15.75" customHeight="1">
      <c r="A125" s="5" t="s">
        <v>554</v>
      </c>
      <c r="G125" s="5" t="s">
        <v>555</v>
      </c>
    </row>
    <row r="126" ht="15.75" customHeight="1">
      <c r="A126" s="5" t="s">
        <v>556</v>
      </c>
      <c r="G126" s="5" t="s">
        <v>557</v>
      </c>
    </row>
    <row r="127" ht="15.75" customHeight="1">
      <c r="A127" s="5" t="s">
        <v>558</v>
      </c>
      <c r="G127" s="5" t="s">
        <v>559</v>
      </c>
    </row>
    <row r="128" ht="15.75" customHeight="1">
      <c r="A128" s="5" t="s">
        <v>561</v>
      </c>
      <c r="G128" s="5" t="s">
        <v>562</v>
      </c>
    </row>
    <row r="129" ht="15.75" customHeight="1">
      <c r="A129" s="5" t="s">
        <v>563</v>
      </c>
      <c r="G129" s="5" t="s">
        <v>564</v>
      </c>
    </row>
    <row r="130" ht="15.75" customHeight="1">
      <c r="A130" s="5" t="s">
        <v>565</v>
      </c>
      <c r="G130" s="5" t="s">
        <v>566</v>
      </c>
    </row>
    <row r="131" ht="15.75" customHeight="1">
      <c r="A131" s="5" t="s">
        <v>567</v>
      </c>
      <c r="G131" s="5" t="s">
        <v>568</v>
      </c>
    </row>
    <row r="132" ht="15.75" customHeight="1">
      <c r="A132" s="5" t="s">
        <v>570</v>
      </c>
      <c r="G132" s="5" t="s">
        <v>572</v>
      </c>
    </row>
    <row r="133" ht="15.75" customHeight="1">
      <c r="A133" s="5" t="s">
        <v>574</v>
      </c>
      <c r="G133" s="5" t="s">
        <v>575</v>
      </c>
    </row>
    <row r="134" ht="15.75" customHeight="1">
      <c r="A134" s="5" t="s">
        <v>576</v>
      </c>
      <c r="G134" s="5" t="s">
        <v>577</v>
      </c>
    </row>
    <row r="135" ht="15.75" customHeight="1">
      <c r="A135" s="5" t="s">
        <v>579</v>
      </c>
      <c r="G135" s="5" t="s">
        <v>580</v>
      </c>
    </row>
    <row r="136" ht="15.75" customHeight="1">
      <c r="A136" s="5" t="s">
        <v>581</v>
      </c>
      <c r="G136" s="5" t="s">
        <v>582</v>
      </c>
    </row>
    <row r="137" ht="15.75" customHeight="1">
      <c r="A137" s="5" t="s">
        <v>583</v>
      </c>
      <c r="G137" s="5" t="s">
        <v>584</v>
      </c>
    </row>
    <row r="138" ht="15.75" customHeight="1">
      <c r="A138" s="5" t="s">
        <v>585</v>
      </c>
      <c r="G138" s="5" t="s">
        <v>586</v>
      </c>
    </row>
    <row r="139" ht="15.75" customHeight="1">
      <c r="A139" s="5" t="s">
        <v>587</v>
      </c>
      <c r="G139" s="5" t="s">
        <v>588</v>
      </c>
    </row>
    <row r="140" ht="15.75" customHeight="1">
      <c r="A140" s="5" t="s">
        <v>590</v>
      </c>
      <c r="G140" s="5" t="s">
        <v>591</v>
      </c>
    </row>
    <row r="141" ht="15.75" customHeight="1">
      <c r="A141" s="5" t="s">
        <v>592</v>
      </c>
      <c r="G141" s="5" t="s">
        <v>593</v>
      </c>
    </row>
    <row r="142" ht="15.75" customHeight="1">
      <c r="A142" s="5" t="s">
        <v>594</v>
      </c>
      <c r="G142" s="5" t="s">
        <v>595</v>
      </c>
    </row>
    <row r="143" ht="15.75" customHeight="1">
      <c r="A143" s="5" t="s">
        <v>596</v>
      </c>
      <c r="G143" s="5" t="s">
        <v>597</v>
      </c>
    </row>
    <row r="144" ht="15.75" customHeight="1">
      <c r="A144" s="5" t="s">
        <v>598</v>
      </c>
      <c r="G144" s="5" t="s">
        <v>599</v>
      </c>
    </row>
    <row r="145" ht="15.75" customHeight="1">
      <c r="A145" s="5" t="s">
        <v>601</v>
      </c>
      <c r="G145" s="5" t="s">
        <v>602</v>
      </c>
    </row>
    <row r="146" ht="15.75" customHeight="1">
      <c r="A146" s="5" t="s">
        <v>604</v>
      </c>
      <c r="G146" s="5" t="s">
        <v>605</v>
      </c>
    </row>
    <row r="147" ht="15.75" customHeight="1">
      <c r="A147" s="5" t="s">
        <v>606</v>
      </c>
      <c r="G147" s="5" t="s">
        <v>607</v>
      </c>
    </row>
    <row r="148" ht="15.75" customHeight="1">
      <c r="A148" s="5" t="s">
        <v>608</v>
      </c>
      <c r="G148" s="5" t="s">
        <v>609</v>
      </c>
    </row>
    <row r="149" ht="15.75" customHeight="1">
      <c r="A149" s="5" t="s">
        <v>610</v>
      </c>
      <c r="G149" s="5" t="s">
        <v>611</v>
      </c>
    </row>
    <row r="150" ht="15.75" customHeight="1">
      <c r="A150" s="5" t="s">
        <v>613</v>
      </c>
      <c r="G150" s="5" t="s">
        <v>614</v>
      </c>
    </row>
    <row r="151" ht="15.75" customHeight="1">
      <c r="A151" s="5" t="s">
        <v>616</v>
      </c>
      <c r="G151" s="5" t="s">
        <v>617</v>
      </c>
    </row>
    <row r="152" ht="15.75" customHeight="1">
      <c r="A152" s="5" t="s">
        <v>619</v>
      </c>
      <c r="G152" s="5" t="s">
        <v>621</v>
      </c>
    </row>
    <row r="153" ht="15.75" customHeight="1">
      <c r="A153" s="5" t="s">
        <v>622</v>
      </c>
      <c r="G153" s="5" t="s">
        <v>623</v>
      </c>
    </row>
    <row r="154" ht="15.75" customHeight="1">
      <c r="A154" s="5" t="s">
        <v>624</v>
      </c>
      <c r="G154" s="5" t="s">
        <v>625</v>
      </c>
    </row>
    <row r="155" ht="15.75" customHeight="1">
      <c r="A155" s="5" t="s">
        <v>626</v>
      </c>
      <c r="G155" s="5" t="s">
        <v>627</v>
      </c>
    </row>
    <row r="156" ht="15.75" customHeight="1">
      <c r="A156" s="5" t="s">
        <v>629</v>
      </c>
      <c r="G156" s="5" t="s">
        <v>630</v>
      </c>
    </row>
    <row r="157" ht="15.75" customHeight="1">
      <c r="A157" s="5" t="s">
        <v>631</v>
      </c>
      <c r="G157" s="5" t="s">
        <v>632</v>
      </c>
    </row>
    <row r="158" ht="15.75" customHeight="1">
      <c r="A158" s="5" t="s">
        <v>633</v>
      </c>
      <c r="G158" s="5" t="s">
        <v>635</v>
      </c>
    </row>
    <row r="159" ht="15.75" customHeight="1">
      <c r="A159" s="5" t="s">
        <v>636</v>
      </c>
      <c r="G159" s="5" t="s">
        <v>637</v>
      </c>
    </row>
    <row r="160" ht="15.75" customHeight="1">
      <c r="A160" s="5" t="s">
        <v>638</v>
      </c>
      <c r="G160" s="5" t="s">
        <v>640</v>
      </c>
    </row>
    <row r="161" ht="15.75" customHeight="1">
      <c r="A161" s="5" t="s">
        <v>642</v>
      </c>
      <c r="G161" s="5" t="s">
        <v>643</v>
      </c>
    </row>
    <row r="162" ht="15.75" customHeight="1">
      <c r="A162" s="5" t="s">
        <v>644</v>
      </c>
      <c r="G162" s="5" t="s">
        <v>645</v>
      </c>
    </row>
    <row r="163" ht="15.75" customHeight="1">
      <c r="A163" s="5" t="s">
        <v>646</v>
      </c>
      <c r="G163" s="5" t="s">
        <v>647</v>
      </c>
    </row>
    <row r="164" ht="15.75" customHeight="1">
      <c r="A164" s="5" t="s">
        <v>649</v>
      </c>
      <c r="G164" s="5" t="s">
        <v>651</v>
      </c>
    </row>
    <row r="165" ht="15.75" customHeight="1">
      <c r="A165" s="5" t="s">
        <v>653</v>
      </c>
      <c r="G165" s="5" t="s">
        <v>655</v>
      </c>
    </row>
    <row r="166" ht="15.75" customHeight="1">
      <c r="A166" s="5" t="s">
        <v>656</v>
      </c>
      <c r="G166" s="5" t="s">
        <v>657</v>
      </c>
    </row>
    <row r="167" ht="15.75" customHeight="1">
      <c r="A167" s="5" t="s">
        <v>658</v>
      </c>
      <c r="G167" s="5" t="s">
        <v>659</v>
      </c>
    </row>
    <row r="168" ht="15.75" customHeight="1">
      <c r="A168" s="5" t="s">
        <v>660</v>
      </c>
      <c r="G168" s="5" t="s">
        <v>661</v>
      </c>
    </row>
    <row r="169" ht="15.75" customHeight="1">
      <c r="A169" s="5" t="s">
        <v>662</v>
      </c>
      <c r="G169" s="5" t="s">
        <v>663</v>
      </c>
    </row>
    <row r="170" ht="15.75" customHeight="1">
      <c r="A170" s="5" t="s">
        <v>664</v>
      </c>
      <c r="G170" s="5" t="s">
        <v>666</v>
      </c>
    </row>
    <row r="171" ht="15.75" customHeight="1">
      <c r="A171" s="5" t="s">
        <v>668</v>
      </c>
      <c r="G171" s="5" t="s">
        <v>669</v>
      </c>
    </row>
    <row r="172" ht="15.75" customHeight="1">
      <c r="A172" s="5" t="s">
        <v>670</v>
      </c>
      <c r="G172" s="5" t="s">
        <v>671</v>
      </c>
    </row>
    <row r="173" ht="15.75" customHeight="1">
      <c r="A173" s="5" t="s">
        <v>672</v>
      </c>
      <c r="G173" s="5" t="s">
        <v>673</v>
      </c>
    </row>
    <row r="174" ht="15.75" customHeight="1">
      <c r="A174" s="5" t="s">
        <v>674</v>
      </c>
      <c r="G174" s="5" t="s">
        <v>675</v>
      </c>
    </row>
    <row r="175" ht="15.75" customHeight="1">
      <c r="A175" s="5" t="s">
        <v>676</v>
      </c>
      <c r="G175" s="5" t="s">
        <v>677</v>
      </c>
    </row>
    <row r="176" ht="15.75" customHeight="1">
      <c r="A176" s="5" t="s">
        <v>679</v>
      </c>
      <c r="G176" s="5" t="s">
        <v>680</v>
      </c>
    </row>
    <row r="177" ht="15.75" customHeight="1">
      <c r="A177" s="5" t="s">
        <v>683</v>
      </c>
      <c r="G177" s="5" t="s">
        <v>684</v>
      </c>
    </row>
    <row r="178" ht="15.75" customHeight="1">
      <c r="A178" s="5" t="s">
        <v>686</v>
      </c>
      <c r="G178" s="5" t="s">
        <v>687</v>
      </c>
    </row>
    <row r="179" ht="15.75" customHeight="1">
      <c r="A179" s="5" t="s">
        <v>688</v>
      </c>
      <c r="G179" s="5" t="s">
        <v>689</v>
      </c>
    </row>
    <row r="180" ht="15.75" customHeight="1">
      <c r="A180" s="5" t="s">
        <v>690</v>
      </c>
      <c r="G180" s="5" t="s">
        <v>691</v>
      </c>
    </row>
    <row r="181" ht="15.75" customHeight="1">
      <c r="A181" s="5" t="s">
        <v>692</v>
      </c>
      <c r="G181" s="5" t="s">
        <v>693</v>
      </c>
    </row>
    <row r="182" ht="15.75" customHeight="1">
      <c r="A182" s="5" t="s">
        <v>694</v>
      </c>
      <c r="G182" s="5" t="s">
        <v>695</v>
      </c>
    </row>
    <row r="183" ht="15.75" customHeight="1">
      <c r="A183" s="5" t="s">
        <v>696</v>
      </c>
      <c r="G183" s="5" t="s">
        <v>697</v>
      </c>
    </row>
    <row r="184" ht="15.75" customHeight="1">
      <c r="A184" s="5" t="s">
        <v>698</v>
      </c>
      <c r="G184" s="5" t="s">
        <v>699</v>
      </c>
    </row>
    <row r="185" ht="15.75" customHeight="1">
      <c r="A185" s="5" t="s">
        <v>700</v>
      </c>
      <c r="G185" s="5" t="s">
        <v>701</v>
      </c>
    </row>
    <row r="186" ht="15.75" customHeight="1">
      <c r="A186" s="5" t="s">
        <v>702</v>
      </c>
      <c r="G186" s="5" t="s">
        <v>703</v>
      </c>
    </row>
    <row r="187" ht="15.75" customHeight="1">
      <c r="A187" s="5" t="s">
        <v>704</v>
      </c>
      <c r="G187" s="5" t="s">
        <v>705</v>
      </c>
    </row>
    <row r="188" ht="15.75" customHeight="1">
      <c r="A188" s="5" t="s">
        <v>706</v>
      </c>
      <c r="G188" s="5" t="s">
        <v>708</v>
      </c>
    </row>
    <row r="189" ht="15.75" customHeight="1">
      <c r="A189" s="5" t="s">
        <v>710</v>
      </c>
      <c r="G189" s="5" t="s">
        <v>712</v>
      </c>
    </row>
    <row r="190" ht="15.75" customHeight="1">
      <c r="A190" s="5" t="s">
        <v>713</v>
      </c>
      <c r="G190" s="5" t="s">
        <v>714</v>
      </c>
    </row>
    <row r="191" ht="15.75" customHeight="1">
      <c r="G191" s="5" t="s">
        <v>715</v>
      </c>
    </row>
    <row r="192" ht="15.75" customHeight="1">
      <c r="G192" s="5" t="s">
        <v>716</v>
      </c>
    </row>
    <row r="193" ht="15.75" customHeight="1">
      <c r="G193" s="5" t="s">
        <v>717</v>
      </c>
    </row>
    <row r="194" ht="15.75" customHeight="1">
      <c r="G194" s="5" t="s">
        <v>718</v>
      </c>
    </row>
    <row r="195" ht="15.75" customHeight="1">
      <c r="G195" s="5" t="s">
        <v>719</v>
      </c>
    </row>
    <row r="196" ht="15.75" customHeight="1">
      <c r="G196" s="5" t="s">
        <v>720</v>
      </c>
    </row>
    <row r="197" ht="15.75" customHeight="1">
      <c r="G197" s="5" t="s">
        <v>722</v>
      </c>
    </row>
    <row r="198" ht="15.75" customHeight="1">
      <c r="G198" s="5" t="s">
        <v>723</v>
      </c>
    </row>
    <row r="199" ht="15.75" customHeight="1">
      <c r="G199" s="5" t="s">
        <v>724</v>
      </c>
    </row>
    <row r="200" ht="15.75" customHeight="1">
      <c r="G200" s="5" t="s">
        <v>725</v>
      </c>
    </row>
    <row r="201" ht="15.75" customHeight="1">
      <c r="G201" s="5" t="s">
        <v>726</v>
      </c>
    </row>
    <row r="202" ht="15.75" customHeight="1">
      <c r="G202" s="5" t="s">
        <v>727</v>
      </c>
    </row>
    <row r="203" ht="15.75" customHeight="1">
      <c r="G203" s="5" t="s">
        <v>728</v>
      </c>
    </row>
    <row r="204" ht="15.75" customHeight="1">
      <c r="G204" s="5" t="s">
        <v>730</v>
      </c>
    </row>
    <row r="205" ht="15.75" customHeight="1">
      <c r="G205" s="5" t="s">
        <v>732</v>
      </c>
    </row>
    <row r="206" ht="15.75" customHeight="1">
      <c r="G206" s="5" t="s">
        <v>734</v>
      </c>
    </row>
    <row r="207" ht="15.75" customHeight="1">
      <c r="G207" s="5" t="s">
        <v>736</v>
      </c>
    </row>
    <row r="208" ht="15.75" customHeight="1">
      <c r="G208" s="5" t="s">
        <v>737</v>
      </c>
    </row>
    <row r="209" ht="15.75" customHeight="1">
      <c r="G209" s="5" t="s">
        <v>738</v>
      </c>
    </row>
    <row r="210" ht="15.75" customHeight="1">
      <c r="G210" s="5" t="s">
        <v>739</v>
      </c>
    </row>
    <row r="211" ht="15.75" customHeight="1">
      <c r="G211" s="5" t="s">
        <v>740</v>
      </c>
    </row>
    <row r="212" ht="15.75" customHeight="1">
      <c r="G212" s="5" t="s">
        <v>741</v>
      </c>
    </row>
    <row r="213" ht="15.75" customHeight="1">
      <c r="G213" s="5" t="s">
        <v>742</v>
      </c>
    </row>
    <row r="214" ht="15.75" customHeight="1">
      <c r="G214" s="5" t="s">
        <v>744</v>
      </c>
    </row>
    <row r="215" ht="15.75" customHeight="1">
      <c r="G215" s="5" t="s">
        <v>745</v>
      </c>
    </row>
    <row r="216" ht="15.75" customHeight="1">
      <c r="G216" s="5" t="s">
        <v>747</v>
      </c>
    </row>
    <row r="217" ht="15.75" customHeight="1">
      <c r="G217" s="5" t="s">
        <v>748</v>
      </c>
    </row>
    <row r="218" ht="15.75" customHeight="1">
      <c r="G218" s="5" t="s">
        <v>749</v>
      </c>
    </row>
    <row r="219" ht="15.75" customHeight="1">
      <c r="G219" s="5" t="s">
        <v>750</v>
      </c>
    </row>
    <row r="220" ht="15.75" customHeight="1">
      <c r="G220" s="5" t="s">
        <v>751</v>
      </c>
    </row>
    <row r="221" ht="15.75" customHeight="1">
      <c r="G221" s="5" t="s">
        <v>754</v>
      </c>
    </row>
    <row r="222" ht="15.75" customHeight="1">
      <c r="G222" s="5" t="s">
        <v>756</v>
      </c>
    </row>
    <row r="223" ht="15.75" customHeight="1">
      <c r="G223" s="5" t="s">
        <v>758</v>
      </c>
    </row>
    <row r="224" ht="15.75" customHeight="1">
      <c r="G224" s="5" t="s">
        <v>759</v>
      </c>
    </row>
    <row r="225" ht="15.75" customHeight="1">
      <c r="G225" s="5" t="s">
        <v>760</v>
      </c>
    </row>
    <row r="226" ht="15.75" customHeight="1">
      <c r="G226" s="5" t="s">
        <v>761</v>
      </c>
    </row>
    <row r="227" ht="15.75" customHeight="1">
      <c r="G227" s="5" t="s">
        <v>762</v>
      </c>
    </row>
    <row r="228" ht="15.75" customHeight="1">
      <c r="G228" s="5" t="s">
        <v>763</v>
      </c>
    </row>
    <row r="229" ht="15.75" customHeight="1">
      <c r="G229" s="5" t="s">
        <v>765</v>
      </c>
    </row>
    <row r="230" ht="15.75" customHeight="1">
      <c r="G230" s="5" t="s">
        <v>766</v>
      </c>
    </row>
    <row r="231" ht="15.75" customHeight="1">
      <c r="G231" s="5" t="s">
        <v>767</v>
      </c>
    </row>
    <row r="232" ht="15.75" customHeight="1">
      <c r="G232" s="5" t="s">
        <v>768</v>
      </c>
    </row>
    <row r="233" ht="15.75" customHeight="1">
      <c r="G233" s="5" t="s">
        <v>770</v>
      </c>
    </row>
    <row r="234" ht="15.75" customHeight="1">
      <c r="G234" s="5" t="s">
        <v>772</v>
      </c>
    </row>
    <row r="235" ht="15.75" customHeight="1">
      <c r="G235" s="5" t="s">
        <v>773</v>
      </c>
    </row>
    <row r="236" ht="15.75" customHeight="1">
      <c r="G236" s="5" t="s">
        <v>774</v>
      </c>
    </row>
    <row r="237" ht="15.75" customHeight="1">
      <c r="G237" s="5" t="s">
        <v>775</v>
      </c>
    </row>
    <row r="238" ht="15.75" customHeight="1">
      <c r="G238" s="5" t="s">
        <v>776</v>
      </c>
    </row>
    <row r="239" ht="15.75" customHeight="1">
      <c r="G239" s="5" t="s">
        <v>777</v>
      </c>
    </row>
    <row r="240" ht="15.75" customHeight="1">
      <c r="G240" s="5" t="s">
        <v>778</v>
      </c>
    </row>
    <row r="241" ht="15.75" customHeight="1">
      <c r="G241" s="5" t="s">
        <v>779</v>
      </c>
    </row>
    <row r="242" ht="15.75" customHeight="1">
      <c r="G242" s="5" t="s">
        <v>780</v>
      </c>
    </row>
    <row r="243" ht="15.75" customHeight="1">
      <c r="G243" s="5" t="s">
        <v>781</v>
      </c>
    </row>
    <row r="244" ht="15.75" customHeight="1">
      <c r="G244" s="5" t="s">
        <v>782</v>
      </c>
    </row>
    <row r="245" ht="15.75" customHeight="1">
      <c r="G245" s="5" t="s">
        <v>783</v>
      </c>
    </row>
    <row r="246" ht="15.75" customHeight="1">
      <c r="G246" s="5" t="s">
        <v>785</v>
      </c>
    </row>
    <row r="247" ht="15.75" customHeight="1">
      <c r="G247" s="5" t="s">
        <v>786</v>
      </c>
    </row>
    <row r="248" ht="15.75" customHeight="1">
      <c r="G248" s="5" t="s">
        <v>790</v>
      </c>
    </row>
    <row r="249" ht="15.75" customHeight="1">
      <c r="G249" s="5" t="s">
        <v>794</v>
      </c>
    </row>
    <row r="250" ht="15.75" customHeight="1">
      <c r="G250" s="5" t="s">
        <v>797</v>
      </c>
    </row>
    <row r="251" ht="15.75" customHeight="1">
      <c r="G251" s="5" t="s">
        <v>798</v>
      </c>
    </row>
    <row r="252" ht="15.75" customHeight="1">
      <c r="G252" s="5" t="s">
        <v>800</v>
      </c>
    </row>
    <row r="253" ht="15.75" customHeight="1">
      <c r="G253" s="5" t="s">
        <v>801</v>
      </c>
    </row>
    <row r="254" ht="15.75" customHeight="1">
      <c r="G254" s="5" t="s">
        <v>803</v>
      </c>
    </row>
    <row r="255" ht="15.75" customHeight="1">
      <c r="G255" s="5" t="s">
        <v>805</v>
      </c>
    </row>
    <row r="256" ht="15.75" customHeight="1">
      <c r="G256" s="5" t="s">
        <v>807</v>
      </c>
    </row>
    <row r="257" ht="15.75" customHeight="1">
      <c r="G257" s="5" t="s">
        <v>809</v>
      </c>
    </row>
    <row r="258" ht="15.75" customHeight="1">
      <c r="G258" s="5" t="s">
        <v>812</v>
      </c>
    </row>
    <row r="259" ht="15.75" customHeight="1">
      <c r="G259" s="5" t="s">
        <v>814</v>
      </c>
    </row>
    <row r="260" ht="15.75" customHeight="1">
      <c r="G260" s="5" t="s">
        <v>816</v>
      </c>
    </row>
    <row r="261" ht="15.75" customHeight="1">
      <c r="G261" s="5" t="s">
        <v>817</v>
      </c>
    </row>
    <row r="262" ht="15.75" customHeight="1">
      <c r="G262" s="5" t="s">
        <v>819</v>
      </c>
    </row>
    <row r="263" ht="15.75" customHeight="1">
      <c r="G263" s="5" t="s">
        <v>821</v>
      </c>
    </row>
    <row r="264" ht="15.75" customHeight="1">
      <c r="G264" s="5" t="s">
        <v>820</v>
      </c>
    </row>
    <row r="265" ht="15.75" customHeight="1">
      <c r="G265" s="5" t="s">
        <v>827</v>
      </c>
    </row>
    <row r="266" ht="15.75" customHeight="1">
      <c r="G266" s="5" t="s">
        <v>828</v>
      </c>
    </row>
    <row r="267" ht="15.75" customHeight="1">
      <c r="G267" s="5" t="s">
        <v>829</v>
      </c>
    </row>
    <row r="268" ht="15.75" customHeight="1">
      <c r="G268" s="5" t="s">
        <v>830</v>
      </c>
    </row>
    <row r="269" ht="15.75" customHeight="1">
      <c r="G269" s="5" t="s">
        <v>831</v>
      </c>
    </row>
    <row r="270" ht="15.75" customHeight="1">
      <c r="G270" s="5" t="s">
        <v>832</v>
      </c>
    </row>
    <row r="271" ht="15.75" customHeight="1">
      <c r="G271" s="5" t="s">
        <v>833</v>
      </c>
    </row>
    <row r="272" ht="15.75" customHeight="1">
      <c r="G272" s="5" t="s">
        <v>834</v>
      </c>
    </row>
    <row r="273" ht="15.75" customHeight="1">
      <c r="G273" s="5" t="s">
        <v>836</v>
      </c>
    </row>
    <row r="274" ht="15.75" customHeight="1">
      <c r="G274" s="5" t="s">
        <v>837</v>
      </c>
    </row>
    <row r="275" ht="15.75" customHeight="1">
      <c r="G275" s="5" t="s">
        <v>838</v>
      </c>
    </row>
    <row r="276" ht="15.75" customHeight="1">
      <c r="G276" s="5" t="s">
        <v>839</v>
      </c>
    </row>
    <row r="277" ht="15.75" customHeight="1">
      <c r="G277" s="5" t="s">
        <v>840</v>
      </c>
    </row>
    <row r="278" ht="15.75" customHeight="1">
      <c r="G278" s="5" t="s">
        <v>841</v>
      </c>
    </row>
    <row r="279" ht="15.75" customHeight="1">
      <c r="G279" s="5" t="s">
        <v>842</v>
      </c>
    </row>
    <row r="280" ht="15.75" customHeight="1">
      <c r="G280" s="5" t="s">
        <v>844</v>
      </c>
    </row>
    <row r="281" ht="15.75" customHeight="1">
      <c r="G281" s="5" t="s">
        <v>847</v>
      </c>
    </row>
    <row r="282" ht="15.75" customHeight="1">
      <c r="G282" s="5" t="s">
        <v>848</v>
      </c>
    </row>
    <row r="283" ht="15.75" customHeight="1">
      <c r="G283" s="5" t="s">
        <v>849</v>
      </c>
    </row>
    <row r="284" ht="15.75" customHeight="1">
      <c r="G284" s="5" t="s">
        <v>850</v>
      </c>
    </row>
    <row r="285" ht="15.75" customHeight="1">
      <c r="G285" s="5" t="s">
        <v>851</v>
      </c>
    </row>
    <row r="286" ht="15.75" customHeight="1">
      <c r="G286" s="5" t="s">
        <v>852</v>
      </c>
    </row>
    <row r="287" ht="15.75" customHeight="1">
      <c r="G287" s="5" t="s">
        <v>853</v>
      </c>
    </row>
    <row r="288" ht="15.75" customHeight="1">
      <c r="G288" s="5" t="s">
        <v>854</v>
      </c>
    </row>
    <row r="289" ht="15.75" customHeight="1">
      <c r="G289" s="5" t="s">
        <v>856</v>
      </c>
    </row>
    <row r="290" ht="15.75" customHeight="1">
      <c r="G290" s="5" t="s">
        <v>857</v>
      </c>
    </row>
    <row r="291" ht="15.75" customHeight="1">
      <c r="G291" s="5" t="s">
        <v>858</v>
      </c>
    </row>
    <row r="292" ht="15.75" customHeight="1">
      <c r="G292" s="5" t="s">
        <v>859</v>
      </c>
    </row>
    <row r="293" ht="15.75" customHeight="1">
      <c r="G293" s="5" t="s">
        <v>860</v>
      </c>
    </row>
    <row r="294" ht="15.75" customHeight="1">
      <c r="G294" s="5" t="s">
        <v>861</v>
      </c>
    </row>
    <row r="295" ht="15.75" customHeight="1">
      <c r="G295" s="5" t="s">
        <v>862</v>
      </c>
    </row>
    <row r="296" ht="15.75" customHeight="1">
      <c r="G296" s="5" t="s">
        <v>865</v>
      </c>
    </row>
    <row r="297" ht="15.75" customHeight="1">
      <c r="G297" s="5" t="s">
        <v>867</v>
      </c>
    </row>
    <row r="298" ht="15.75" customHeight="1">
      <c r="G298" s="5" t="s">
        <v>869</v>
      </c>
    </row>
    <row r="299" ht="15.75" customHeight="1">
      <c r="G299" s="5" t="s">
        <v>871</v>
      </c>
    </row>
    <row r="300" ht="15.75" customHeight="1">
      <c r="G300" s="5" t="s">
        <v>873</v>
      </c>
    </row>
    <row r="301" ht="15.75" customHeight="1">
      <c r="G301" s="5" t="s">
        <v>874</v>
      </c>
    </row>
    <row r="302" ht="15.75" customHeight="1">
      <c r="G302" s="5" t="s">
        <v>875</v>
      </c>
    </row>
    <row r="303" ht="15.75" customHeight="1">
      <c r="G303" s="5" t="s">
        <v>876</v>
      </c>
    </row>
    <row r="304" ht="15.75" customHeight="1">
      <c r="G304" s="5" t="s">
        <v>877</v>
      </c>
    </row>
    <row r="305" ht="15.75" customHeight="1">
      <c r="G305" s="5" t="s">
        <v>878</v>
      </c>
    </row>
    <row r="306" ht="15.75" customHeight="1">
      <c r="G306" s="5" t="s">
        <v>880</v>
      </c>
    </row>
    <row r="307" ht="15.75" customHeight="1">
      <c r="G307" s="5" t="s">
        <v>882</v>
      </c>
    </row>
    <row r="308" ht="15.75" customHeight="1">
      <c r="G308" s="5" t="s">
        <v>885</v>
      </c>
    </row>
    <row r="309" ht="15.75" customHeight="1">
      <c r="G309" s="5" t="s">
        <v>886</v>
      </c>
    </row>
    <row r="310" ht="15.75" customHeight="1">
      <c r="G310" s="5" t="s">
        <v>887</v>
      </c>
    </row>
    <row r="311" ht="15.75" customHeight="1">
      <c r="G311" s="5" t="s">
        <v>889</v>
      </c>
    </row>
    <row r="312" ht="15.75" customHeight="1">
      <c r="G312" s="5" t="s">
        <v>892</v>
      </c>
    </row>
    <row r="313" ht="15.75" customHeight="1">
      <c r="G313" s="5" t="s">
        <v>893</v>
      </c>
    </row>
    <row r="314" ht="15.75" customHeight="1">
      <c r="G314" s="5" t="s">
        <v>895</v>
      </c>
    </row>
    <row r="315" ht="15.75" customHeight="1">
      <c r="G315" s="5" t="s">
        <v>883</v>
      </c>
    </row>
    <row r="316" ht="15.75" customHeight="1">
      <c r="G316" s="5" t="s">
        <v>898</v>
      </c>
    </row>
    <row r="317" ht="15.75" customHeight="1">
      <c r="G317" s="5" t="s">
        <v>899</v>
      </c>
    </row>
    <row r="318" ht="15.75" customHeight="1">
      <c r="G318" s="5" t="s">
        <v>901</v>
      </c>
    </row>
    <row r="319" ht="15.75" customHeight="1">
      <c r="G319" s="5" t="s">
        <v>903</v>
      </c>
    </row>
    <row r="320" ht="15.75" customHeight="1">
      <c r="G320" s="5" t="s">
        <v>905</v>
      </c>
    </row>
    <row r="321" ht="15.75" customHeight="1">
      <c r="G321" s="5" t="s">
        <v>908</v>
      </c>
    </row>
    <row r="322" ht="15.75" customHeight="1">
      <c r="G322" s="5" t="s">
        <v>909</v>
      </c>
    </row>
    <row r="323" ht="15.75" customHeight="1">
      <c r="G323" s="5" t="s">
        <v>911</v>
      </c>
    </row>
    <row r="324" ht="15.75" customHeight="1">
      <c r="G324" s="5" t="s">
        <v>912</v>
      </c>
    </row>
    <row r="325" ht="15.75" customHeight="1">
      <c r="G325" s="5" t="s">
        <v>913</v>
      </c>
    </row>
    <row r="326" ht="15.75" customHeight="1">
      <c r="G326" s="5" t="s">
        <v>915</v>
      </c>
    </row>
    <row r="327" ht="15.75" customHeight="1">
      <c r="G327" s="5" t="s">
        <v>918</v>
      </c>
    </row>
    <row r="328" ht="15.75" customHeight="1">
      <c r="G328" s="5" t="s">
        <v>919</v>
      </c>
    </row>
    <row r="329" ht="15.75" customHeight="1">
      <c r="G329" s="5" t="s">
        <v>921</v>
      </c>
    </row>
    <row r="330" ht="15.75" customHeight="1">
      <c r="G330" s="5" t="s">
        <v>923</v>
      </c>
    </row>
    <row r="331" ht="15.75" customHeight="1">
      <c r="G331" s="5" t="s">
        <v>924</v>
      </c>
    </row>
    <row r="332" ht="15.75" customHeight="1">
      <c r="G332" s="5" t="s">
        <v>925</v>
      </c>
    </row>
    <row r="333" ht="15.75" customHeight="1">
      <c r="G333" s="5" t="s">
        <v>926</v>
      </c>
    </row>
    <row r="334" ht="15.75" customHeight="1">
      <c r="G334" s="5" t="s">
        <v>928</v>
      </c>
    </row>
    <row r="335" ht="15.75" customHeight="1">
      <c r="G335" s="5" t="s">
        <v>929</v>
      </c>
    </row>
    <row r="336" ht="15.75" customHeight="1">
      <c r="G336" s="5" t="s">
        <v>931</v>
      </c>
    </row>
    <row r="337" ht="15.75" customHeight="1">
      <c r="G337" s="5" t="s">
        <v>933</v>
      </c>
    </row>
    <row r="338" ht="15.75" customHeight="1">
      <c r="G338" s="5" t="s">
        <v>935</v>
      </c>
    </row>
    <row r="339" ht="15.75" customHeight="1">
      <c r="G339" s="5" t="s">
        <v>936</v>
      </c>
    </row>
    <row r="340" ht="15.75" customHeight="1">
      <c r="G340" s="5" t="s">
        <v>937</v>
      </c>
    </row>
    <row r="341" ht="15.75" customHeight="1">
      <c r="G341" s="5" t="s">
        <v>939</v>
      </c>
    </row>
    <row r="342" ht="15.75" customHeight="1">
      <c r="G342" s="5" t="s">
        <v>942</v>
      </c>
    </row>
    <row r="343" ht="15.75" customHeight="1">
      <c r="G343" s="5" t="s">
        <v>943</v>
      </c>
    </row>
    <row r="344" ht="15.75" customHeight="1">
      <c r="G344" s="5" t="s">
        <v>945</v>
      </c>
    </row>
    <row r="345" ht="15.75" customHeight="1">
      <c r="G345" s="5" t="s">
        <v>947</v>
      </c>
    </row>
    <row r="346" ht="15.75" customHeight="1">
      <c r="G346" s="5" t="s">
        <v>948</v>
      </c>
    </row>
    <row r="347" ht="15.75" customHeight="1">
      <c r="G347" s="5" t="s">
        <v>949</v>
      </c>
    </row>
    <row r="348" ht="15.75" customHeight="1">
      <c r="G348" s="5" t="s">
        <v>950</v>
      </c>
    </row>
    <row r="349" ht="15.75" customHeight="1">
      <c r="G349" s="5" t="s">
        <v>951</v>
      </c>
    </row>
    <row r="350" ht="15.75" customHeight="1">
      <c r="G350" s="5" t="s">
        <v>953</v>
      </c>
    </row>
    <row r="351" ht="15.75" customHeight="1">
      <c r="G351" s="5" t="s">
        <v>954</v>
      </c>
    </row>
    <row r="352" ht="15.75" customHeight="1">
      <c r="G352" s="5" t="s">
        <v>956</v>
      </c>
    </row>
    <row r="353" ht="15.75" customHeight="1">
      <c r="G353" s="5" t="s">
        <v>957</v>
      </c>
    </row>
    <row r="354" ht="15.75" customHeight="1">
      <c r="G354" s="5" t="s">
        <v>958</v>
      </c>
    </row>
    <row r="355" ht="15.75" customHeight="1">
      <c r="G355" s="5" t="s">
        <v>959</v>
      </c>
    </row>
    <row r="356" ht="15.75" customHeight="1">
      <c r="G356" s="5" t="s">
        <v>961</v>
      </c>
    </row>
    <row r="357" ht="15.75" customHeight="1">
      <c r="G357" s="5" t="s">
        <v>963</v>
      </c>
    </row>
    <row r="358" ht="15.75" customHeight="1">
      <c r="G358" s="5" t="s">
        <v>965</v>
      </c>
    </row>
    <row r="359" ht="15.75" customHeight="1">
      <c r="G359" s="5" t="s">
        <v>967</v>
      </c>
    </row>
    <row r="360" ht="15.75" customHeight="1">
      <c r="G360" s="5" t="s">
        <v>969</v>
      </c>
    </row>
    <row r="361" ht="15.75" customHeight="1">
      <c r="G361" s="5" t="s">
        <v>971</v>
      </c>
    </row>
    <row r="362" ht="15.75" customHeight="1">
      <c r="G362" s="5" t="s">
        <v>972</v>
      </c>
    </row>
    <row r="363" ht="15.75" customHeight="1">
      <c r="G363" s="5" t="s">
        <v>973</v>
      </c>
    </row>
    <row r="364" ht="15.75" customHeight="1">
      <c r="G364" s="5" t="s">
        <v>974</v>
      </c>
    </row>
    <row r="365" ht="15.75" customHeight="1">
      <c r="G365" s="5" t="s">
        <v>975</v>
      </c>
    </row>
    <row r="366" ht="15.75" customHeight="1">
      <c r="G366" s="5" t="s">
        <v>976</v>
      </c>
    </row>
    <row r="367" ht="15.75" customHeight="1">
      <c r="G367" s="5" t="s">
        <v>977</v>
      </c>
    </row>
    <row r="368" ht="15.75" customHeight="1">
      <c r="G368" s="5" t="s">
        <v>978</v>
      </c>
    </row>
    <row r="369" ht="15.75" customHeight="1">
      <c r="G369" s="5" t="s">
        <v>980</v>
      </c>
    </row>
    <row r="370" ht="15.75" customHeight="1">
      <c r="G370" s="5" t="s">
        <v>981</v>
      </c>
    </row>
    <row r="371" ht="15.75" customHeight="1">
      <c r="G371" s="5" t="s">
        <v>983</v>
      </c>
    </row>
    <row r="372" ht="15.75" customHeight="1">
      <c r="G372" s="5" t="s">
        <v>986</v>
      </c>
    </row>
    <row r="373" ht="15.75" customHeight="1">
      <c r="G373" s="5" t="s">
        <v>988</v>
      </c>
    </row>
    <row r="374" ht="15.75" customHeight="1">
      <c r="G374" s="5" t="s">
        <v>989</v>
      </c>
    </row>
    <row r="375" ht="15.75" customHeight="1">
      <c r="G375" s="5" t="s">
        <v>991</v>
      </c>
    </row>
    <row r="376" ht="15.75" customHeight="1">
      <c r="G376" s="5" t="s">
        <v>992</v>
      </c>
    </row>
    <row r="377" ht="15.75" customHeight="1">
      <c r="G377" s="5" t="s">
        <v>994</v>
      </c>
    </row>
    <row r="378" ht="15.75" customHeight="1">
      <c r="G378" s="5" t="s">
        <v>995</v>
      </c>
    </row>
    <row r="379" ht="15.75" customHeight="1">
      <c r="G379" s="5" t="s">
        <v>997</v>
      </c>
    </row>
    <row r="380" ht="15.75" customHeight="1">
      <c r="G380" s="5" t="s">
        <v>998</v>
      </c>
    </row>
    <row r="381" ht="15.75" customHeight="1">
      <c r="G381" s="5" t="s">
        <v>1000</v>
      </c>
    </row>
    <row r="382" ht="15.75" customHeight="1">
      <c r="G382" s="5" t="s">
        <v>1002</v>
      </c>
    </row>
    <row r="383" ht="15.75" customHeight="1">
      <c r="G383" s="5" t="s">
        <v>1004</v>
      </c>
    </row>
    <row r="384" ht="15.75" customHeight="1">
      <c r="G384" s="5" t="s">
        <v>1005</v>
      </c>
    </row>
    <row r="385" ht="15.75" customHeight="1">
      <c r="G385" s="5" t="s">
        <v>1006</v>
      </c>
    </row>
    <row r="386" ht="15.75" customHeight="1">
      <c r="G386" s="5" t="s">
        <v>1008</v>
      </c>
    </row>
    <row r="387" ht="15.75" customHeight="1">
      <c r="G387" s="5" t="s">
        <v>1012</v>
      </c>
    </row>
    <row r="388" ht="15.75" customHeight="1">
      <c r="G388" s="5" t="s">
        <v>1014</v>
      </c>
    </row>
    <row r="389" ht="15.75" customHeight="1">
      <c r="G389" s="5" t="s">
        <v>1015</v>
      </c>
    </row>
    <row r="390" ht="15.75" customHeight="1">
      <c r="G390" s="5" t="s">
        <v>1017</v>
      </c>
    </row>
    <row r="391" ht="15.75" customHeight="1">
      <c r="G391" s="5" t="s">
        <v>1018</v>
      </c>
    </row>
    <row r="392" ht="15.75" customHeight="1">
      <c r="G392" s="5" t="s">
        <v>1020</v>
      </c>
    </row>
    <row r="393" ht="15.75" customHeight="1">
      <c r="G393" s="5" t="s">
        <v>1021</v>
      </c>
    </row>
    <row r="394" ht="15.75" customHeight="1">
      <c r="G394" s="5" t="s">
        <v>1023</v>
      </c>
    </row>
    <row r="395" ht="15.75" customHeight="1">
      <c r="G395" s="5" t="s">
        <v>1024</v>
      </c>
    </row>
    <row r="396" ht="15.75" customHeight="1">
      <c r="G396" s="5" t="s">
        <v>1026</v>
      </c>
    </row>
    <row r="397" ht="15.75" customHeight="1">
      <c r="G397" s="5" t="s">
        <v>1028</v>
      </c>
    </row>
    <row r="398" ht="15.75" customHeight="1">
      <c r="G398" s="5" t="s">
        <v>1030</v>
      </c>
    </row>
    <row r="399" ht="15.75" customHeight="1">
      <c r="G399" s="5" t="s">
        <v>1032</v>
      </c>
    </row>
    <row r="400" ht="15.75" customHeight="1">
      <c r="G400" s="5" t="s">
        <v>1033</v>
      </c>
    </row>
    <row r="401" ht="15.75" customHeight="1">
      <c r="G401" s="5" t="s">
        <v>1036</v>
      </c>
    </row>
    <row r="402" ht="15.75" customHeight="1">
      <c r="G402" s="5" t="s">
        <v>1038</v>
      </c>
    </row>
    <row r="403" ht="15.75" customHeight="1">
      <c r="G403" s="5" t="s">
        <v>1040</v>
      </c>
    </row>
    <row r="404" ht="15.75" customHeight="1">
      <c r="G404" s="5" t="s">
        <v>1041</v>
      </c>
    </row>
    <row r="405" ht="15.75" customHeight="1">
      <c r="G405" s="5" t="s">
        <v>1043</v>
      </c>
    </row>
    <row r="406" ht="15.75" customHeight="1">
      <c r="G406" s="5" t="s">
        <v>1045</v>
      </c>
    </row>
    <row r="407" ht="15.75" customHeight="1">
      <c r="G407" s="5" t="s">
        <v>1046</v>
      </c>
    </row>
    <row r="408" ht="15.75" customHeight="1">
      <c r="G408" s="5" t="s">
        <v>1047</v>
      </c>
    </row>
    <row r="409" ht="15.75" customHeight="1">
      <c r="G409" s="5" t="s">
        <v>1051</v>
      </c>
    </row>
    <row r="410" ht="15.75" customHeight="1">
      <c r="G410" s="5" t="s">
        <v>1052</v>
      </c>
    </row>
    <row r="411" ht="15.75" customHeight="1">
      <c r="G411" s="5" t="s">
        <v>1053</v>
      </c>
    </row>
    <row r="412" ht="15.75" customHeight="1">
      <c r="G412" s="5" t="s">
        <v>1055</v>
      </c>
    </row>
    <row r="413" ht="15.75" customHeight="1">
      <c r="G413" s="5" t="s">
        <v>1057</v>
      </c>
    </row>
    <row r="414" ht="15.75" customHeight="1">
      <c r="G414" s="5" t="s">
        <v>1058</v>
      </c>
    </row>
    <row r="415" ht="15.75" customHeight="1">
      <c r="G415" s="5" t="s">
        <v>1061</v>
      </c>
    </row>
    <row r="416" ht="15.75" customHeight="1">
      <c r="G416" s="5" t="s">
        <v>1064</v>
      </c>
    </row>
    <row r="417" ht="15.75" customHeight="1">
      <c r="G417" s="5" t="s">
        <v>1067</v>
      </c>
    </row>
    <row r="418" ht="15.75" customHeight="1">
      <c r="G418" s="5" t="s">
        <v>1068</v>
      </c>
    </row>
    <row r="419" ht="15.75" customHeight="1">
      <c r="G419" s="5" t="s">
        <v>1070</v>
      </c>
    </row>
    <row r="420" ht="15.75" customHeight="1">
      <c r="G420" s="5" t="s">
        <v>1072</v>
      </c>
    </row>
    <row r="421" ht="15.75" customHeight="1">
      <c r="G421" s="5" t="s">
        <v>1074</v>
      </c>
    </row>
    <row r="422" ht="15.75" customHeight="1">
      <c r="G422" s="5" t="s">
        <v>1075</v>
      </c>
    </row>
    <row r="423" ht="15.75" customHeight="1">
      <c r="G423" s="5" t="s">
        <v>1076</v>
      </c>
    </row>
    <row r="424" ht="15.75" customHeight="1">
      <c r="G424" s="5" t="s">
        <v>1077</v>
      </c>
    </row>
    <row r="425" ht="15.75" customHeight="1">
      <c r="G425" s="5" t="s">
        <v>1079</v>
      </c>
    </row>
    <row r="426" ht="15.75" customHeight="1">
      <c r="G426" s="5" t="s">
        <v>1082</v>
      </c>
    </row>
    <row r="427" ht="15.75" customHeight="1">
      <c r="G427" s="5" t="s">
        <v>1083</v>
      </c>
    </row>
    <row r="428" ht="15.75" customHeight="1">
      <c r="G428" s="5" t="s">
        <v>1086</v>
      </c>
    </row>
    <row r="429" ht="15.75" customHeight="1">
      <c r="G429" s="5" t="s">
        <v>1088</v>
      </c>
    </row>
    <row r="430" ht="15.75" customHeight="1">
      <c r="G430" s="5" t="s">
        <v>1089</v>
      </c>
    </row>
    <row r="431" ht="15.75" customHeight="1">
      <c r="G431" s="5" t="s">
        <v>1090</v>
      </c>
    </row>
    <row r="432" ht="15.75" customHeight="1">
      <c r="G432" s="5" t="s">
        <v>1092</v>
      </c>
    </row>
    <row r="433" ht="15.75" customHeight="1">
      <c r="G433" s="5" t="s">
        <v>1095</v>
      </c>
    </row>
    <row r="434" ht="15.75" customHeight="1">
      <c r="G434" s="5" t="s">
        <v>1096</v>
      </c>
    </row>
    <row r="435" ht="15.75" customHeight="1">
      <c r="G435" s="5" t="s">
        <v>1098</v>
      </c>
    </row>
    <row r="436" ht="15.75" customHeight="1">
      <c r="G436" s="5" t="s">
        <v>1099</v>
      </c>
    </row>
    <row r="437" ht="15.75" customHeight="1">
      <c r="G437" s="5" t="s">
        <v>1100</v>
      </c>
    </row>
    <row r="438" ht="15.75" customHeight="1">
      <c r="G438" s="5" t="s">
        <v>1102</v>
      </c>
    </row>
    <row r="439" ht="15.75" customHeight="1">
      <c r="G439" s="5" t="s">
        <v>1104</v>
      </c>
    </row>
    <row r="440" ht="15.75" customHeight="1">
      <c r="G440" s="5" t="s">
        <v>1105</v>
      </c>
    </row>
    <row r="441" ht="15.75" customHeight="1">
      <c r="G441" s="5" t="s">
        <v>1106</v>
      </c>
    </row>
    <row r="442" ht="15.75" customHeight="1">
      <c r="G442" s="5" t="s">
        <v>1107</v>
      </c>
    </row>
    <row r="443" ht="15.75" customHeight="1">
      <c r="G443" s="5" t="s">
        <v>1109</v>
      </c>
    </row>
    <row r="444" ht="15.75" customHeight="1">
      <c r="G444" s="5" t="s">
        <v>1110</v>
      </c>
    </row>
    <row r="445" ht="15.75" customHeight="1">
      <c r="G445" s="5" t="s">
        <v>1113</v>
      </c>
    </row>
    <row r="446" ht="15.75" customHeight="1">
      <c r="G446" s="5" t="s">
        <v>1116</v>
      </c>
    </row>
    <row r="447" ht="15.75" customHeight="1">
      <c r="G447" s="5" t="s">
        <v>1117</v>
      </c>
    </row>
    <row r="448" ht="15.75" customHeight="1">
      <c r="G448" s="5" t="s">
        <v>1118</v>
      </c>
    </row>
    <row r="449" ht="15.75" customHeight="1">
      <c r="G449" s="5" t="s">
        <v>1119</v>
      </c>
    </row>
    <row r="450" ht="15.75" customHeight="1">
      <c r="G450" s="5" t="s">
        <v>1121</v>
      </c>
    </row>
    <row r="451" ht="15.75" customHeight="1">
      <c r="G451" s="5" t="s">
        <v>1122</v>
      </c>
    </row>
    <row r="452" ht="15.75" customHeight="1">
      <c r="G452" s="5" t="s">
        <v>1123</v>
      </c>
    </row>
    <row r="453" ht="15.75" customHeight="1">
      <c r="G453" s="5" t="s">
        <v>1125</v>
      </c>
    </row>
    <row r="454" ht="15.75" customHeight="1">
      <c r="G454" s="5" t="s">
        <v>1126</v>
      </c>
    </row>
    <row r="455" ht="15.75" customHeight="1">
      <c r="G455" s="5" t="s">
        <v>1127</v>
      </c>
    </row>
    <row r="456" ht="15.75" customHeight="1">
      <c r="G456" s="5" t="s">
        <v>1129</v>
      </c>
    </row>
    <row r="457" ht="15.75" customHeight="1">
      <c r="G457" s="5" t="s">
        <v>1130</v>
      </c>
    </row>
    <row r="458" ht="15.75" customHeight="1">
      <c r="G458" s="5" t="s">
        <v>1132</v>
      </c>
    </row>
    <row r="459" ht="15.75" customHeight="1">
      <c r="G459" s="5" t="s">
        <v>1133</v>
      </c>
    </row>
    <row r="460" ht="15.75" customHeight="1">
      <c r="G460" s="5" t="s">
        <v>1135</v>
      </c>
    </row>
    <row r="461" ht="15.75" customHeight="1">
      <c r="G461" s="5" t="s">
        <v>1138</v>
      </c>
    </row>
    <row r="462" ht="15.75" customHeight="1">
      <c r="G462" s="5" t="s">
        <v>1141</v>
      </c>
    </row>
    <row r="463" ht="15.75" customHeight="1">
      <c r="G463" s="5" t="s">
        <v>1142</v>
      </c>
    </row>
    <row r="464" ht="15.75" customHeight="1">
      <c r="G464" s="5" t="s">
        <v>1143</v>
      </c>
    </row>
    <row r="465" ht="15.75" customHeight="1">
      <c r="G465" s="5" t="s">
        <v>1145</v>
      </c>
    </row>
    <row r="466" ht="15.75" customHeight="1">
      <c r="G466" s="5" t="s">
        <v>1146</v>
      </c>
    </row>
    <row r="467" ht="15.75" customHeight="1">
      <c r="G467" s="5" t="s">
        <v>1149</v>
      </c>
    </row>
    <row r="468" ht="15.75" customHeight="1">
      <c r="G468" s="5" t="s">
        <v>1151</v>
      </c>
    </row>
    <row r="469" ht="15.75" customHeight="1">
      <c r="G469" s="5" t="s">
        <v>1153</v>
      </c>
    </row>
    <row r="470" ht="15.75" customHeight="1">
      <c r="G470" s="5" t="s">
        <v>1154</v>
      </c>
    </row>
    <row r="471" ht="15.75" customHeight="1">
      <c r="G471" s="5" t="s">
        <v>1156</v>
      </c>
    </row>
    <row r="472" ht="15.75" customHeight="1">
      <c r="G472" s="5" t="s">
        <v>1157</v>
      </c>
    </row>
    <row r="473" ht="15.75" customHeight="1">
      <c r="G473" s="5" t="s">
        <v>1159</v>
      </c>
    </row>
    <row r="474" ht="15.75" customHeight="1">
      <c r="G474" s="5" t="s">
        <v>1162</v>
      </c>
    </row>
    <row r="475" ht="15.75" customHeight="1">
      <c r="G475" s="5" t="s">
        <v>1163</v>
      </c>
    </row>
    <row r="476" ht="15.75" customHeight="1">
      <c r="G476" s="5" t="s">
        <v>1164</v>
      </c>
    </row>
    <row r="477" ht="15.75" customHeight="1">
      <c r="G477" s="5" t="s">
        <v>1167</v>
      </c>
    </row>
    <row r="478" ht="15.75" customHeight="1">
      <c r="G478" s="5" t="s">
        <v>1169</v>
      </c>
    </row>
    <row r="479" ht="15.75" customHeight="1">
      <c r="G479" s="5" t="s">
        <v>1170</v>
      </c>
    </row>
    <row r="480" ht="15.75" customHeight="1">
      <c r="G480" s="5" t="s">
        <v>1172</v>
      </c>
    </row>
    <row r="481" ht="15.75" customHeight="1">
      <c r="G481" s="5" t="s">
        <v>1101</v>
      </c>
    </row>
    <row r="482" ht="15.75" customHeight="1">
      <c r="G482" s="5" t="s">
        <v>1174</v>
      </c>
    </row>
    <row r="483" ht="15.75" customHeight="1">
      <c r="G483" s="5" t="s">
        <v>1175</v>
      </c>
    </row>
    <row r="484" ht="15.75" customHeight="1">
      <c r="G484" s="5" t="s">
        <v>1176</v>
      </c>
    </row>
    <row r="485" ht="15.75" customHeight="1">
      <c r="G485" s="5" t="s">
        <v>1178</v>
      </c>
    </row>
    <row r="486" ht="15.75" customHeight="1">
      <c r="G486" s="5" t="s">
        <v>1179</v>
      </c>
    </row>
    <row r="487" ht="15.75" customHeight="1">
      <c r="G487" s="5" t="s">
        <v>1181</v>
      </c>
    </row>
    <row r="488" ht="15.75" customHeight="1">
      <c r="G488" s="5" t="s">
        <v>1183</v>
      </c>
    </row>
    <row r="489" ht="15.75" customHeight="1">
      <c r="G489" s="5" t="s">
        <v>1184</v>
      </c>
    </row>
    <row r="490" ht="15.75" customHeight="1">
      <c r="G490" s="5" t="s">
        <v>1186</v>
      </c>
    </row>
    <row r="491" ht="15.75" customHeight="1">
      <c r="G491" s="5" t="s">
        <v>1187</v>
      </c>
    </row>
    <row r="492" ht="15.75" customHeight="1">
      <c r="G492" s="5" t="s">
        <v>1189</v>
      </c>
    </row>
    <row r="493" ht="15.75" customHeight="1">
      <c r="G493" s="5" t="s">
        <v>1191</v>
      </c>
    </row>
    <row r="494" ht="15.75" customHeight="1">
      <c r="G494" s="5" t="s">
        <v>1192</v>
      </c>
    </row>
    <row r="495" ht="15.75" customHeight="1">
      <c r="G495" s="5" t="s">
        <v>1193</v>
      </c>
    </row>
    <row r="496" ht="15.75" customHeight="1">
      <c r="G496" s="5" t="s">
        <v>1195</v>
      </c>
    </row>
    <row r="497" ht="15.75" customHeight="1">
      <c r="G497" s="5" t="s">
        <v>1197</v>
      </c>
    </row>
    <row r="498" ht="15.75" customHeight="1">
      <c r="G498" s="5" t="s">
        <v>1198</v>
      </c>
    </row>
    <row r="499" ht="15.75" customHeight="1">
      <c r="G499" s="5" t="s">
        <v>1199</v>
      </c>
    </row>
    <row r="500" ht="15.75" customHeight="1">
      <c r="G500" s="5" t="s">
        <v>1201</v>
      </c>
    </row>
    <row r="501" ht="15.75" customHeight="1">
      <c r="G501" s="5" t="s">
        <v>1203</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7" t="s">
        <v>26</v>
      </c>
      <c r="B1" s="7" t="s">
        <v>46</v>
      </c>
      <c r="C1" s="7" t="s">
        <v>50</v>
      </c>
      <c r="D1" s="7" t="s">
        <v>54</v>
      </c>
      <c r="E1" s="7" t="s">
        <v>58</v>
      </c>
      <c r="F1" s="7" t="s">
        <v>63</v>
      </c>
      <c r="G1" s="7" t="s">
        <v>67</v>
      </c>
      <c r="H1" s="9" t="s">
        <v>94</v>
      </c>
      <c r="I1" s="9" t="s">
        <v>113</v>
      </c>
      <c r="J1" s="9" t="s">
        <v>117</v>
      </c>
      <c r="K1" s="9" t="s">
        <v>138</v>
      </c>
      <c r="L1" s="9" t="s">
        <v>148</v>
      </c>
      <c r="M1" s="12" t="s">
        <v>30</v>
      </c>
      <c r="N1" s="12" t="s">
        <v>176</v>
      </c>
      <c r="O1" s="9" t="s">
        <v>180</v>
      </c>
      <c r="P1" s="9" t="s">
        <v>183</v>
      </c>
      <c r="Q1" s="9" t="s">
        <v>186</v>
      </c>
      <c r="R1" s="9" t="s">
        <v>190</v>
      </c>
      <c r="S1" s="9" t="s">
        <v>195</v>
      </c>
      <c r="T1" s="9" t="s">
        <v>197</v>
      </c>
      <c r="U1" s="9" t="s">
        <v>198</v>
      </c>
    </row>
    <row r="2">
      <c r="A2" s="8" t="s">
        <v>208</v>
      </c>
      <c r="B2" s="8" t="s">
        <v>211</v>
      </c>
      <c r="C2" s="8" t="s">
        <v>214</v>
      </c>
      <c r="D2" s="15">
        <v>611.0</v>
      </c>
      <c r="E2" s="8" t="s">
        <v>228</v>
      </c>
      <c r="F2" s="16" t="str">
        <f>HYPERLINK("https://youtu.be/h5mje3jbD48","watch")</f>
        <v>watch</v>
      </c>
      <c r="G2" s="17" t="s">
        <v>20</v>
      </c>
      <c r="H2" s="18" t="s">
        <v>301</v>
      </c>
      <c r="I2" s="18">
        <v>9.0</v>
      </c>
      <c r="J2" s="18" t="s">
        <v>28</v>
      </c>
      <c r="K2" s="18" t="s">
        <v>315</v>
      </c>
      <c r="L2" s="18" t="s">
        <v>20</v>
      </c>
      <c r="M2" s="10"/>
      <c r="N2" s="10"/>
      <c r="O2" s="10"/>
      <c r="P2" s="10"/>
      <c r="Q2" s="10"/>
      <c r="R2" s="10"/>
      <c r="S2" s="10"/>
      <c r="T2" s="10"/>
      <c r="U2" s="10"/>
    </row>
    <row r="3">
      <c r="A3" s="8" t="s">
        <v>347</v>
      </c>
      <c r="B3" s="8" t="s">
        <v>350</v>
      </c>
      <c r="C3" s="8" t="s">
        <v>354</v>
      </c>
      <c r="D3" s="15">
        <v>967.0</v>
      </c>
      <c r="E3" s="8" t="s">
        <v>358</v>
      </c>
      <c r="F3" s="16" t="str">
        <f>HYPERLINK("https://youtu.be/_RuAmy2dGL8","watch")</f>
        <v>watch</v>
      </c>
      <c r="G3" s="17" t="s">
        <v>382</v>
      </c>
      <c r="H3" s="10" t="s">
        <v>25</v>
      </c>
      <c r="I3" s="10">
        <v>9.0</v>
      </c>
      <c r="J3" s="10" t="s">
        <v>48</v>
      </c>
      <c r="K3" s="10"/>
      <c r="L3" s="10" t="s">
        <v>20</v>
      </c>
      <c r="M3" s="10"/>
      <c r="N3" s="10"/>
      <c r="O3" s="10"/>
      <c r="P3" s="10"/>
      <c r="Q3" s="10"/>
      <c r="R3" s="10"/>
      <c r="S3" s="10"/>
      <c r="T3" s="10"/>
      <c r="U3" s="10"/>
    </row>
    <row r="4">
      <c r="A4" s="8" t="s">
        <v>401</v>
      </c>
      <c r="B4" s="8" t="s">
        <v>404</v>
      </c>
      <c r="C4" s="8" t="s">
        <v>406</v>
      </c>
      <c r="D4" s="15">
        <v>1164.0</v>
      </c>
      <c r="E4" s="8" t="s">
        <v>409</v>
      </c>
      <c r="F4" s="16" t="str">
        <f>HYPERLINK("https://youtu.be/iIgTusrqVtg","watch")</f>
        <v>watch</v>
      </c>
      <c r="G4" s="17" t="s">
        <v>429</v>
      </c>
      <c r="H4" s="10" t="s">
        <v>301</v>
      </c>
      <c r="I4" s="10">
        <v>3.0</v>
      </c>
      <c r="J4" s="10" t="s">
        <v>28</v>
      </c>
      <c r="K4" s="18" t="s">
        <v>436</v>
      </c>
      <c r="L4" s="10" t="s">
        <v>42</v>
      </c>
      <c r="M4" s="10" t="s">
        <v>28</v>
      </c>
      <c r="N4" s="10">
        <v>1.0</v>
      </c>
      <c r="O4" s="10"/>
      <c r="P4" s="10"/>
      <c r="Q4" s="10"/>
      <c r="R4" s="10"/>
      <c r="S4" s="10"/>
      <c r="T4" s="10"/>
      <c r="U4" s="10"/>
    </row>
    <row r="5">
      <c r="A5" s="8" t="s">
        <v>446</v>
      </c>
      <c r="B5" s="8" t="s">
        <v>448</v>
      </c>
      <c r="C5" s="8" t="s">
        <v>450</v>
      </c>
      <c r="D5" s="15">
        <v>801.0</v>
      </c>
      <c r="E5" s="8" t="s">
        <v>358</v>
      </c>
      <c r="F5" s="16" t="str">
        <f>HYPERLINK("https://youtu.be/DP8HG31X1rg","watch")</f>
        <v>watch</v>
      </c>
      <c r="G5" s="17" t="s">
        <v>468</v>
      </c>
      <c r="H5" s="10" t="s">
        <v>25</v>
      </c>
      <c r="I5" s="10">
        <v>13.0</v>
      </c>
      <c r="J5" s="10" t="s">
        <v>48</v>
      </c>
      <c r="K5" s="10"/>
      <c r="L5" s="10" t="s">
        <v>42</v>
      </c>
      <c r="M5" s="10"/>
      <c r="N5" s="10"/>
      <c r="O5" s="10"/>
      <c r="P5" s="10"/>
      <c r="Q5" s="10"/>
      <c r="R5" s="10"/>
      <c r="S5" s="10"/>
      <c r="T5" s="10"/>
      <c r="U5" s="10"/>
    </row>
    <row r="6">
      <c r="A6" s="8" t="s">
        <v>483</v>
      </c>
      <c r="B6" s="8" t="s">
        <v>486</v>
      </c>
      <c r="C6" s="8" t="s">
        <v>489</v>
      </c>
      <c r="D6" s="15">
        <v>919.0</v>
      </c>
      <c r="E6" s="8" t="s">
        <v>492</v>
      </c>
      <c r="F6" s="16" t="str">
        <f>HYPERLINK("https://youtu.be/VZtK6rT7ZTI","watch")</f>
        <v>watch</v>
      </c>
      <c r="G6" s="17" t="s">
        <v>509</v>
      </c>
      <c r="H6" s="10" t="s">
        <v>301</v>
      </c>
      <c r="I6" s="10">
        <v>8.0</v>
      </c>
      <c r="J6" s="10" t="s">
        <v>48</v>
      </c>
      <c r="K6" s="10"/>
      <c r="L6" s="10" t="s">
        <v>20</v>
      </c>
      <c r="M6" s="10"/>
      <c r="N6" s="10"/>
      <c r="O6" s="10"/>
      <c r="P6" s="10"/>
      <c r="Q6" s="10"/>
      <c r="R6" s="10"/>
      <c r="S6" s="10"/>
      <c r="T6" s="10"/>
      <c r="U6" s="10"/>
    </row>
    <row r="7">
      <c r="A7" s="8" t="s">
        <v>527</v>
      </c>
      <c r="B7" s="8" t="s">
        <v>530</v>
      </c>
      <c r="C7" s="8" t="s">
        <v>532</v>
      </c>
      <c r="D7" s="15">
        <v>793.0</v>
      </c>
      <c r="E7" s="8" t="s">
        <v>535</v>
      </c>
      <c r="F7" s="16" t="str">
        <f>HYPERLINK("https://youtu.be/E5Wz7X1VMeY","watch")</f>
        <v>watch</v>
      </c>
      <c r="G7" s="17" t="s">
        <v>545</v>
      </c>
      <c r="H7" s="10" t="s">
        <v>25</v>
      </c>
      <c r="I7" s="10">
        <v>8.0</v>
      </c>
      <c r="J7" s="10" t="s">
        <v>48</v>
      </c>
      <c r="K7" s="10"/>
      <c r="L7" s="10" t="s">
        <v>20</v>
      </c>
      <c r="M7" s="10"/>
      <c r="N7" s="10"/>
      <c r="O7" s="10"/>
      <c r="P7" s="10"/>
      <c r="Q7" s="10"/>
      <c r="R7" s="10"/>
      <c r="S7" s="10"/>
      <c r="T7" s="10"/>
      <c r="U7" s="10"/>
    </row>
    <row r="8">
      <c r="A8" s="8" t="s">
        <v>569</v>
      </c>
      <c r="B8" s="8" t="s">
        <v>571</v>
      </c>
      <c r="C8" s="8" t="s">
        <v>573</v>
      </c>
      <c r="D8" s="15">
        <v>1012.0</v>
      </c>
      <c r="E8" s="8" t="s">
        <v>492</v>
      </c>
      <c r="F8" s="16" t="str">
        <f>HYPERLINK("https://youtu.be/T2-UqY2ZSOw","watch")</f>
        <v>watch</v>
      </c>
      <c r="G8" s="17" t="s">
        <v>600</v>
      </c>
      <c r="H8" s="10" t="s">
        <v>301</v>
      </c>
      <c r="I8" s="10">
        <v>2.0</v>
      </c>
      <c r="J8" s="10" t="s">
        <v>48</v>
      </c>
      <c r="K8" s="10"/>
      <c r="L8" s="10" t="s">
        <v>42</v>
      </c>
      <c r="M8" s="10"/>
      <c r="N8" s="10"/>
      <c r="O8" s="10"/>
      <c r="P8" s="10"/>
      <c r="Q8" s="10"/>
      <c r="R8" s="10"/>
      <c r="S8" s="10"/>
      <c r="T8" s="10"/>
      <c r="U8" s="10"/>
    </row>
    <row r="9">
      <c r="A9" s="8" t="s">
        <v>615</v>
      </c>
      <c r="B9" s="8" t="s">
        <v>618</v>
      </c>
      <c r="C9" s="8" t="s">
        <v>620</v>
      </c>
      <c r="D9" s="15">
        <v>730.0</v>
      </c>
      <c r="E9" s="8" t="s">
        <v>358</v>
      </c>
      <c r="F9" s="16" t="str">
        <f>HYPERLINK("https://youtu.be/O5WscUY7qZI","watch")</f>
        <v>watch</v>
      </c>
      <c r="G9" s="17" t="s">
        <v>634</v>
      </c>
      <c r="H9" s="10" t="s">
        <v>25</v>
      </c>
      <c r="I9" s="10">
        <v>12.0</v>
      </c>
      <c r="J9" s="10" t="s">
        <v>28</v>
      </c>
      <c r="K9" s="10" t="s">
        <v>639</v>
      </c>
      <c r="L9" s="10" t="s">
        <v>42</v>
      </c>
      <c r="M9" s="10"/>
      <c r="N9" s="10"/>
      <c r="O9" s="10"/>
      <c r="P9" s="10"/>
      <c r="Q9" s="10"/>
      <c r="R9" s="10"/>
      <c r="S9" s="10"/>
      <c r="T9" s="10"/>
      <c r="U9" s="10"/>
    </row>
    <row r="10">
      <c r="A10" s="8" t="s">
        <v>648</v>
      </c>
      <c r="B10" s="8" t="s">
        <v>650</v>
      </c>
      <c r="C10" s="8" t="s">
        <v>652</v>
      </c>
      <c r="D10" s="15">
        <v>669.0</v>
      </c>
      <c r="E10" s="8" t="s">
        <v>358</v>
      </c>
      <c r="F10" s="16" t="str">
        <f>HYPERLINK("https://youtu.be/IQMn3DNCzik","watch")</f>
        <v>watch</v>
      </c>
      <c r="G10" s="17" t="s">
        <v>667</v>
      </c>
      <c r="H10" s="10" t="s">
        <v>301</v>
      </c>
      <c r="I10" s="10">
        <v>7.0</v>
      </c>
      <c r="J10" s="10" t="s">
        <v>48</v>
      </c>
      <c r="K10" s="10"/>
      <c r="L10" s="10" t="s">
        <v>20</v>
      </c>
      <c r="M10" s="10"/>
      <c r="N10" s="10"/>
      <c r="O10" s="10"/>
      <c r="P10" s="10"/>
      <c r="Q10" s="10"/>
      <c r="R10" s="10"/>
      <c r="S10" s="10"/>
      <c r="T10" s="10"/>
      <c r="U10" s="10"/>
    </row>
    <row r="11">
      <c r="A11" s="8" t="s">
        <v>678</v>
      </c>
      <c r="B11" s="8" t="s">
        <v>681</v>
      </c>
      <c r="C11" s="8" t="s">
        <v>682</v>
      </c>
      <c r="D11" s="15">
        <v>16.0</v>
      </c>
      <c r="E11" s="8" t="s">
        <v>685</v>
      </c>
      <c r="F11" s="16" t="str">
        <f>HYPERLINK("https://youtu.be/2XdMKde79M8","watch")</f>
        <v>watch</v>
      </c>
      <c r="G11" s="17" t="s">
        <v>667</v>
      </c>
      <c r="H11" s="10" t="s">
        <v>25</v>
      </c>
      <c r="I11" s="10">
        <v>7.0</v>
      </c>
      <c r="J11" s="10" t="s">
        <v>48</v>
      </c>
      <c r="K11" s="10"/>
      <c r="L11" s="10" t="s">
        <v>20</v>
      </c>
      <c r="M11" s="10"/>
      <c r="N11" s="10"/>
      <c r="O11" s="10"/>
      <c r="P11" s="10"/>
      <c r="Q11" s="10"/>
      <c r="R11" s="10"/>
      <c r="S11" s="10"/>
      <c r="T11" s="10"/>
      <c r="U11" s="10"/>
    </row>
    <row r="12">
      <c r="A12" s="8" t="s">
        <v>707</v>
      </c>
      <c r="B12" s="8" t="s">
        <v>709</v>
      </c>
      <c r="C12" s="8" t="s">
        <v>711</v>
      </c>
      <c r="D12" s="15">
        <v>1118.0</v>
      </c>
      <c r="E12" s="8" t="s">
        <v>492</v>
      </c>
      <c r="F12" s="16" t="str">
        <f>HYPERLINK("https://youtu.be/RZInASE6x1c","watch")</f>
        <v>watch</v>
      </c>
      <c r="G12" s="17" t="s">
        <v>721</v>
      </c>
      <c r="H12" s="10" t="s">
        <v>301</v>
      </c>
      <c r="I12" s="10">
        <v>1.0</v>
      </c>
      <c r="J12" s="10" t="s">
        <v>48</v>
      </c>
      <c r="K12" s="10"/>
      <c r="L12" s="10" t="s">
        <v>42</v>
      </c>
      <c r="M12" s="10"/>
      <c r="N12" s="10"/>
      <c r="O12" s="10"/>
      <c r="P12" s="10"/>
      <c r="Q12" s="10"/>
      <c r="R12" s="10"/>
      <c r="S12" s="10"/>
      <c r="T12" s="10"/>
      <c r="U12" s="10"/>
    </row>
    <row r="13">
      <c r="A13" s="8" t="s">
        <v>729</v>
      </c>
      <c r="B13" s="8" t="s">
        <v>731</v>
      </c>
      <c r="C13" s="8" t="s">
        <v>733</v>
      </c>
      <c r="D13" s="15">
        <v>687.0</v>
      </c>
      <c r="E13" s="8" t="s">
        <v>735</v>
      </c>
      <c r="F13" s="16" t="str">
        <f>HYPERLINK("https://youtu.be/oSPbl9reyIM","watch")</f>
        <v>watch</v>
      </c>
      <c r="G13" s="17" t="s">
        <v>743</v>
      </c>
      <c r="H13" s="10" t="s">
        <v>301</v>
      </c>
      <c r="I13" s="10">
        <v>6.0</v>
      </c>
      <c r="J13" s="10" t="s">
        <v>28</v>
      </c>
      <c r="K13" s="10" t="s">
        <v>746</v>
      </c>
      <c r="L13" s="10" t="s">
        <v>20</v>
      </c>
      <c r="M13" s="10"/>
      <c r="N13" s="10"/>
      <c r="O13" s="10"/>
      <c r="P13" s="10"/>
      <c r="Q13" s="10"/>
      <c r="R13" s="10"/>
      <c r="S13" s="10"/>
      <c r="T13" s="10"/>
      <c r="U13" s="10"/>
    </row>
    <row r="14">
      <c r="A14" s="8" t="s">
        <v>752</v>
      </c>
      <c r="B14" s="8" t="s">
        <v>753</v>
      </c>
      <c r="C14" s="8" t="s">
        <v>755</v>
      </c>
      <c r="D14" s="15">
        <v>952.0</v>
      </c>
      <c r="E14" s="8" t="s">
        <v>757</v>
      </c>
      <c r="F14" s="16" t="str">
        <f>HYPERLINK("https://youtu.be/inTMqcQmFhM","watch")</f>
        <v>watch</v>
      </c>
      <c r="G14" s="17" t="s">
        <v>764</v>
      </c>
      <c r="H14" s="10" t="s">
        <v>43</v>
      </c>
      <c r="I14" s="10">
        <v>6.0</v>
      </c>
      <c r="J14" s="10" t="s">
        <v>48</v>
      </c>
      <c r="K14" s="10"/>
      <c r="L14" s="10" t="s">
        <v>20</v>
      </c>
      <c r="M14" s="10"/>
      <c r="N14" s="10"/>
      <c r="O14" s="10"/>
      <c r="P14" s="10"/>
      <c r="Q14" s="10"/>
      <c r="R14" s="10"/>
      <c r="S14" s="10"/>
      <c r="T14" s="10"/>
      <c r="U14" s="10"/>
    </row>
    <row r="15">
      <c r="A15" s="8" t="s">
        <v>769</v>
      </c>
      <c r="B15" s="8" t="s">
        <v>681</v>
      </c>
      <c r="C15" s="8" t="s">
        <v>771</v>
      </c>
      <c r="D15" s="15">
        <v>653.0</v>
      </c>
      <c r="E15" s="8" t="s">
        <v>685</v>
      </c>
      <c r="F15" s="16" t="str">
        <f>HYPERLINK("https://youtu.be/b8CfpcK7-h0","watch")</f>
        <v>watch</v>
      </c>
      <c r="G15" s="17" t="s">
        <v>743</v>
      </c>
      <c r="H15" s="10" t="s">
        <v>25</v>
      </c>
      <c r="I15" s="10">
        <v>6.0</v>
      </c>
      <c r="J15" s="10" t="s">
        <v>48</v>
      </c>
      <c r="K15" s="10"/>
      <c r="L15" s="10" t="s">
        <v>20</v>
      </c>
      <c r="M15" s="10"/>
      <c r="N15" s="10"/>
      <c r="O15" s="10"/>
      <c r="P15" s="10"/>
      <c r="Q15" s="10"/>
      <c r="R15" s="10"/>
      <c r="S15" s="10"/>
      <c r="T15" s="10"/>
      <c r="U15" s="10"/>
    </row>
    <row r="16">
      <c r="A16" s="8" t="s">
        <v>788</v>
      </c>
      <c r="B16" s="8" t="s">
        <v>791</v>
      </c>
      <c r="C16" s="8" t="s">
        <v>793</v>
      </c>
      <c r="D16" s="15">
        <v>762.0</v>
      </c>
      <c r="E16" s="8" t="s">
        <v>757</v>
      </c>
      <c r="F16" s="16" t="str">
        <f>HYPERLINK("https://youtu.be/aa9jzXRFtrg","watch")</f>
        <v>watch</v>
      </c>
      <c r="G16" s="17" t="s">
        <v>808</v>
      </c>
      <c r="H16" s="10" t="s">
        <v>810</v>
      </c>
      <c r="I16" s="10">
        <v>8.0</v>
      </c>
      <c r="J16" s="10" t="s">
        <v>48</v>
      </c>
      <c r="K16" s="10"/>
      <c r="L16" s="10" t="s">
        <v>64</v>
      </c>
      <c r="M16" s="10"/>
      <c r="N16" s="10"/>
      <c r="O16" s="10"/>
      <c r="P16" s="10"/>
      <c r="Q16" s="10"/>
      <c r="R16" s="10"/>
      <c r="S16" s="10"/>
      <c r="T16" s="10"/>
      <c r="U16" s="10"/>
    </row>
    <row r="17">
      <c r="A17" s="8" t="s">
        <v>824</v>
      </c>
      <c r="B17" s="8" t="s">
        <v>825</v>
      </c>
      <c r="C17" s="8" t="s">
        <v>826</v>
      </c>
      <c r="D17" s="15">
        <v>774.0</v>
      </c>
      <c r="E17" s="8" t="s">
        <v>735</v>
      </c>
      <c r="F17" s="16" t="str">
        <f>HYPERLINK("https://youtu.be/znsnYB6boh4","watch")</f>
        <v>watch</v>
      </c>
      <c r="G17" s="17" t="s">
        <v>835</v>
      </c>
      <c r="H17" s="10" t="s">
        <v>301</v>
      </c>
      <c r="I17" s="10">
        <v>5.0</v>
      </c>
      <c r="J17" s="10" t="s">
        <v>48</v>
      </c>
      <c r="K17" s="10"/>
      <c r="L17" s="10" t="s">
        <v>20</v>
      </c>
      <c r="M17" s="10"/>
      <c r="N17" s="10"/>
      <c r="O17" s="10"/>
      <c r="P17" s="10"/>
      <c r="Q17" s="10"/>
      <c r="R17" s="10"/>
      <c r="S17" s="10"/>
      <c r="T17" s="10"/>
      <c r="U17" s="10"/>
    </row>
    <row r="18">
      <c r="A18" s="8" t="s">
        <v>843</v>
      </c>
      <c r="B18" s="8" t="s">
        <v>845</v>
      </c>
      <c r="C18" s="8" t="s">
        <v>846</v>
      </c>
      <c r="D18" s="15">
        <v>830.0</v>
      </c>
      <c r="E18" s="8" t="s">
        <v>492</v>
      </c>
      <c r="F18" s="16" t="str">
        <f>HYPERLINK("https://youtu.be/16jOkWyE1Cs","watch")</f>
        <v>watch</v>
      </c>
      <c r="G18" s="17" t="s">
        <v>855</v>
      </c>
      <c r="H18" s="10" t="s">
        <v>43</v>
      </c>
      <c r="I18" s="10">
        <v>5.0</v>
      </c>
      <c r="J18" s="10" t="s">
        <v>48</v>
      </c>
      <c r="K18" s="10"/>
      <c r="L18" s="10" t="s">
        <v>20</v>
      </c>
      <c r="M18" s="10"/>
      <c r="N18" s="10"/>
      <c r="O18" s="10"/>
      <c r="P18" s="10"/>
      <c r="Q18" s="10"/>
      <c r="R18" s="10"/>
      <c r="S18" s="10"/>
      <c r="T18" s="10"/>
      <c r="U18" s="10"/>
    </row>
    <row r="19">
      <c r="A19" s="8" t="s">
        <v>863</v>
      </c>
      <c r="B19" s="8" t="s">
        <v>864</v>
      </c>
      <c r="C19" s="8" t="s">
        <v>866</v>
      </c>
      <c r="D19" s="15">
        <v>657.0</v>
      </c>
      <c r="E19" s="8" t="s">
        <v>492</v>
      </c>
      <c r="F19" s="16" t="str">
        <f>HYPERLINK("https://youtu.be/LmdyCAqDodM","watch")</f>
        <v>watch</v>
      </c>
      <c r="G19" s="17" t="s">
        <v>835</v>
      </c>
      <c r="H19" s="10" t="s">
        <v>25</v>
      </c>
      <c r="I19" s="10">
        <v>5.0</v>
      </c>
      <c r="J19" s="10" t="s">
        <v>28</v>
      </c>
      <c r="K19" s="10" t="s">
        <v>879</v>
      </c>
      <c r="L19" s="10" t="s">
        <v>20</v>
      </c>
      <c r="M19" s="10"/>
      <c r="N19" s="10"/>
      <c r="O19" s="10"/>
      <c r="P19" s="10"/>
      <c r="Q19" s="10"/>
      <c r="R19" s="10"/>
      <c r="S19" s="10"/>
      <c r="T19" s="10"/>
      <c r="U19" s="10"/>
    </row>
    <row r="20">
      <c r="A20" s="8" t="s">
        <v>888</v>
      </c>
      <c r="B20" s="8" t="s">
        <v>890</v>
      </c>
      <c r="C20" s="8" t="s">
        <v>891</v>
      </c>
      <c r="D20" s="15">
        <v>882.0</v>
      </c>
      <c r="E20" s="8" t="s">
        <v>735</v>
      </c>
      <c r="F20" s="16" t="str">
        <f>HYPERLINK("https://youtu.be/k6p_6HEntYw","watch")</f>
        <v>watch</v>
      </c>
      <c r="G20" s="17" t="s">
        <v>902</v>
      </c>
      <c r="H20" s="10" t="s">
        <v>810</v>
      </c>
      <c r="I20" s="10">
        <v>7.0</v>
      </c>
      <c r="J20" s="10" t="s">
        <v>28</v>
      </c>
      <c r="K20" s="10" t="s">
        <v>906</v>
      </c>
      <c r="L20" s="10" t="s">
        <v>64</v>
      </c>
      <c r="M20" s="10"/>
      <c r="N20" s="10"/>
      <c r="O20" s="10"/>
      <c r="P20" s="10"/>
      <c r="Q20" s="10"/>
      <c r="R20" s="10"/>
      <c r="S20" s="10"/>
      <c r="T20" s="10"/>
      <c r="U20" s="10"/>
    </row>
    <row r="21" ht="15.75" customHeight="1">
      <c r="A21" s="8" t="s">
        <v>914</v>
      </c>
      <c r="B21" s="8" t="s">
        <v>916</v>
      </c>
      <c r="C21" s="8" t="s">
        <v>917</v>
      </c>
      <c r="D21" s="15">
        <v>895.0</v>
      </c>
      <c r="E21" s="8" t="s">
        <v>228</v>
      </c>
      <c r="F21" s="16" t="str">
        <f>HYPERLINK("https://youtu.be/ndzNjhARITQ","watch")</f>
        <v>watch</v>
      </c>
      <c r="G21" s="17" t="s">
        <v>927</v>
      </c>
      <c r="H21" s="10" t="s">
        <v>301</v>
      </c>
      <c r="I21" s="10">
        <v>4.0</v>
      </c>
      <c r="J21" s="10" t="s">
        <v>28</v>
      </c>
      <c r="K21" s="10" t="s">
        <v>932</v>
      </c>
      <c r="L21" s="10" t="s">
        <v>20</v>
      </c>
      <c r="M21" s="10"/>
      <c r="N21" s="10"/>
      <c r="O21" s="10"/>
      <c r="P21" s="10"/>
      <c r="Q21" s="10"/>
      <c r="R21" s="10"/>
      <c r="S21" s="10"/>
      <c r="T21" s="10"/>
      <c r="U21" s="10"/>
    </row>
    <row r="22" ht="15.75" customHeight="1">
      <c r="A22" s="8" t="s">
        <v>938</v>
      </c>
      <c r="B22" s="8" t="s">
        <v>940</v>
      </c>
      <c r="C22" s="8" t="s">
        <v>941</v>
      </c>
      <c r="D22" s="15">
        <v>768.0</v>
      </c>
      <c r="E22" s="8" t="s">
        <v>735</v>
      </c>
      <c r="F22" s="16" t="str">
        <f>HYPERLINK("https://youtu.be/fY-u0pxphVo","watch")</f>
        <v>watch</v>
      </c>
      <c r="G22" s="17" t="s">
        <v>952</v>
      </c>
      <c r="H22" s="10" t="s">
        <v>43</v>
      </c>
      <c r="I22" s="10">
        <v>4.0</v>
      </c>
      <c r="J22" s="10" t="s">
        <v>48</v>
      </c>
      <c r="K22" s="10"/>
      <c r="L22" s="10" t="s">
        <v>20</v>
      </c>
      <c r="M22" s="10"/>
      <c r="N22" s="10"/>
      <c r="O22" s="10"/>
      <c r="P22" s="10"/>
      <c r="Q22" s="10"/>
      <c r="R22" s="10"/>
      <c r="S22" s="10"/>
      <c r="T22" s="10"/>
      <c r="U22" s="10"/>
    </row>
    <row r="23" ht="15.75" customHeight="1">
      <c r="A23" s="8" t="s">
        <v>960</v>
      </c>
      <c r="B23" s="8" t="s">
        <v>962</v>
      </c>
      <c r="C23" s="8" t="s">
        <v>964</v>
      </c>
      <c r="D23" s="15">
        <v>843.0</v>
      </c>
      <c r="E23" s="8" t="s">
        <v>685</v>
      </c>
      <c r="F23" s="16" t="str">
        <f>HYPERLINK("https://youtu.be/76ziDoR2YJg","watch")</f>
        <v>watch</v>
      </c>
      <c r="G23" s="17" t="s">
        <v>927</v>
      </c>
      <c r="H23" s="10" t="s">
        <v>25</v>
      </c>
      <c r="I23" s="10">
        <v>4.0</v>
      </c>
      <c r="J23" s="10" t="s">
        <v>48</v>
      </c>
      <c r="K23" s="10"/>
      <c r="L23" s="10" t="s">
        <v>20</v>
      </c>
      <c r="M23" s="10"/>
      <c r="N23" s="10"/>
      <c r="O23" s="10"/>
      <c r="P23" s="10"/>
      <c r="Q23" s="10"/>
      <c r="R23" s="10"/>
      <c r="S23" s="10"/>
      <c r="T23" s="10"/>
      <c r="U23" s="10"/>
    </row>
    <row r="24" ht="15.75" customHeight="1">
      <c r="A24" s="8" t="s">
        <v>982</v>
      </c>
      <c r="B24" s="8" t="s">
        <v>984</v>
      </c>
      <c r="C24" s="8" t="s">
        <v>985</v>
      </c>
      <c r="D24" s="15">
        <v>996.0</v>
      </c>
      <c r="E24" s="8" t="s">
        <v>987</v>
      </c>
      <c r="F24" s="16" t="str">
        <f>HYPERLINK("https://youtu.be/3pUiN-8XkEk","watch")</f>
        <v>watch</v>
      </c>
      <c r="G24" s="17" t="s">
        <v>996</v>
      </c>
      <c r="H24" s="10" t="s">
        <v>810</v>
      </c>
      <c r="I24" s="10">
        <v>8.0</v>
      </c>
      <c r="J24" s="10" t="s">
        <v>28</v>
      </c>
      <c r="K24" s="10" t="s">
        <v>999</v>
      </c>
      <c r="L24" s="10" t="s">
        <v>98</v>
      </c>
      <c r="M24" s="10"/>
      <c r="N24" s="10"/>
      <c r="O24" s="10"/>
      <c r="P24" s="10"/>
      <c r="Q24" s="10"/>
      <c r="R24" s="10"/>
      <c r="S24" s="10"/>
      <c r="T24" s="10"/>
      <c r="U24" s="10"/>
    </row>
    <row r="25" ht="15.75" customHeight="1">
      <c r="A25" s="8" t="s">
        <v>1007</v>
      </c>
      <c r="B25" s="8" t="s">
        <v>1009</v>
      </c>
      <c r="C25" s="8" t="s">
        <v>1010</v>
      </c>
      <c r="D25" s="15">
        <v>997.0</v>
      </c>
      <c r="E25" s="8" t="s">
        <v>1013</v>
      </c>
      <c r="F25" s="16" t="str">
        <f>HYPERLINK("https://youtu.be/019sIQP5PwA","watch")</f>
        <v>watch</v>
      </c>
      <c r="G25" s="17" t="s">
        <v>1022</v>
      </c>
      <c r="H25" s="10" t="s">
        <v>810</v>
      </c>
      <c r="I25" s="10">
        <v>6.0</v>
      </c>
      <c r="J25" s="10" t="s">
        <v>28</v>
      </c>
      <c r="K25" s="10" t="s">
        <v>1025</v>
      </c>
      <c r="L25" s="10" t="s">
        <v>42</v>
      </c>
      <c r="M25" s="10"/>
      <c r="N25" s="10"/>
      <c r="O25" s="10"/>
      <c r="P25" s="10"/>
      <c r="Q25" s="10"/>
      <c r="R25" s="10"/>
      <c r="S25" s="10"/>
      <c r="T25" s="10"/>
      <c r="U25" s="10"/>
    </row>
    <row r="26" ht="15.75" customHeight="1">
      <c r="A26" s="8" t="s">
        <v>1034</v>
      </c>
      <c r="B26" s="8" t="s">
        <v>1035</v>
      </c>
      <c r="C26" s="8" t="s">
        <v>1037</v>
      </c>
      <c r="D26" s="15">
        <v>858.0</v>
      </c>
      <c r="E26" s="8" t="s">
        <v>358</v>
      </c>
      <c r="F26" s="16" t="str">
        <f>HYPERLINK("https://youtu.be/3dAQ-PS0fpU","watch")</f>
        <v>watch</v>
      </c>
      <c r="G26" s="17" t="s">
        <v>1049</v>
      </c>
      <c r="H26" s="10" t="s">
        <v>1050</v>
      </c>
      <c r="I26" s="10">
        <v>2.0</v>
      </c>
      <c r="J26" s="10" t="s">
        <v>48</v>
      </c>
      <c r="K26" s="10"/>
      <c r="L26" s="10" t="s">
        <v>42</v>
      </c>
      <c r="M26" s="10"/>
      <c r="N26" s="10"/>
      <c r="O26" s="10"/>
      <c r="P26" s="10"/>
      <c r="Q26" s="10"/>
      <c r="R26" s="10"/>
      <c r="S26" s="10"/>
      <c r="T26" s="10"/>
      <c r="U26" s="10"/>
    </row>
    <row r="27" ht="15.75" customHeight="1">
      <c r="A27" s="8" t="s">
        <v>1060</v>
      </c>
      <c r="B27" s="8" t="s">
        <v>1063</v>
      </c>
      <c r="C27" s="8" t="s">
        <v>1066</v>
      </c>
      <c r="D27" s="15">
        <v>34.0</v>
      </c>
      <c r="E27" s="8" t="s">
        <v>735</v>
      </c>
      <c r="F27" s="16" t="str">
        <f>HYPERLINK("https://youtu.be/JfHlnrlX6S0","watch")</f>
        <v>watch</v>
      </c>
      <c r="G27" s="17" t="s">
        <v>1081</v>
      </c>
      <c r="H27" s="10" t="s">
        <v>43</v>
      </c>
      <c r="I27" s="10">
        <v>3.0</v>
      </c>
      <c r="J27" s="10" t="s">
        <v>28</v>
      </c>
      <c r="K27" s="10" t="s">
        <v>1085</v>
      </c>
      <c r="L27" s="10" t="s">
        <v>20</v>
      </c>
      <c r="M27" s="10"/>
      <c r="N27" s="10"/>
      <c r="O27" s="10"/>
      <c r="P27" s="10"/>
      <c r="Q27" s="10"/>
      <c r="R27" s="10"/>
      <c r="S27" s="10"/>
      <c r="T27" s="10"/>
      <c r="U27" s="10"/>
    </row>
    <row r="28" ht="15.75" customHeight="1">
      <c r="A28" s="8" t="s">
        <v>1091</v>
      </c>
      <c r="B28" s="8" t="s">
        <v>1093</v>
      </c>
      <c r="C28" s="8" t="s">
        <v>1094</v>
      </c>
      <c r="D28" s="15">
        <v>897.0</v>
      </c>
      <c r="E28" s="8" t="s">
        <v>535</v>
      </c>
      <c r="F28" s="16" t="str">
        <f>HYPERLINK("https://youtu.be/vTy3MKGN73k","watch")</f>
        <v>watch</v>
      </c>
      <c r="G28" s="17" t="s">
        <v>1103</v>
      </c>
      <c r="H28" s="10" t="s">
        <v>301</v>
      </c>
      <c r="I28" s="10">
        <v>3.0</v>
      </c>
      <c r="J28" s="10" t="s">
        <v>48</v>
      </c>
      <c r="K28" s="10"/>
      <c r="L28" s="10" t="s">
        <v>20</v>
      </c>
      <c r="M28" s="10"/>
      <c r="N28" s="10"/>
      <c r="O28" s="10"/>
      <c r="P28" s="10"/>
      <c r="Q28" s="10"/>
      <c r="R28" s="10"/>
      <c r="S28" s="10"/>
      <c r="T28" s="10"/>
      <c r="U28" s="10"/>
    </row>
    <row r="29" ht="15.75" customHeight="1">
      <c r="A29" s="8" t="s">
        <v>1112</v>
      </c>
      <c r="B29" s="8" t="s">
        <v>1114</v>
      </c>
      <c r="C29" s="8" t="s">
        <v>1115</v>
      </c>
      <c r="D29" s="15">
        <v>642.0</v>
      </c>
      <c r="E29" s="8" t="s">
        <v>535</v>
      </c>
      <c r="F29" s="16" t="str">
        <f>HYPERLINK("https://youtu.be/1_ivvCs7Gp4","watch")</f>
        <v>watch</v>
      </c>
      <c r="G29" s="17" t="s">
        <v>1124</v>
      </c>
      <c r="H29" s="10" t="s">
        <v>25</v>
      </c>
      <c r="I29" s="10">
        <v>3.0</v>
      </c>
      <c r="J29" s="10" t="s">
        <v>48</v>
      </c>
      <c r="K29" s="10"/>
      <c r="L29" s="10" t="s">
        <v>20</v>
      </c>
      <c r="M29" s="10"/>
      <c r="N29" s="10"/>
      <c r="O29" s="10"/>
      <c r="P29" s="10"/>
      <c r="Q29" s="10"/>
      <c r="R29" s="10"/>
      <c r="S29" s="10"/>
      <c r="T29" s="10"/>
      <c r="U29" s="10"/>
    </row>
    <row r="30" ht="15.75" customHeight="1">
      <c r="A30" s="8" t="s">
        <v>1134</v>
      </c>
      <c r="B30" s="8" t="s">
        <v>1136</v>
      </c>
      <c r="C30" s="8" t="s">
        <v>1137</v>
      </c>
      <c r="D30" s="15">
        <v>1127.0</v>
      </c>
      <c r="E30" s="8" t="s">
        <v>1140</v>
      </c>
      <c r="F30" s="16" t="str">
        <f>HYPERLINK("https://youtu.be/R2VxbNMrlXQ","watch")</f>
        <v>watch</v>
      </c>
      <c r="G30" s="17" t="s">
        <v>1152</v>
      </c>
      <c r="H30" s="10" t="s">
        <v>810</v>
      </c>
      <c r="I30" s="10">
        <v>7.0</v>
      </c>
      <c r="J30" s="10" t="s">
        <v>28</v>
      </c>
      <c r="K30" s="10" t="s">
        <v>1155</v>
      </c>
      <c r="L30" s="10" t="s">
        <v>98</v>
      </c>
      <c r="M30" s="10"/>
      <c r="N30" s="10"/>
      <c r="O30" s="10"/>
      <c r="P30" s="10"/>
      <c r="Q30" s="10"/>
      <c r="R30" s="10"/>
      <c r="S30" s="10"/>
      <c r="T30" s="10"/>
      <c r="U30" s="10"/>
    </row>
    <row r="31" ht="15.75" customHeight="1">
      <c r="A31" s="8" t="s">
        <v>1165</v>
      </c>
      <c r="B31" s="8" t="s">
        <v>1166</v>
      </c>
      <c r="C31" s="8" t="s">
        <v>1168</v>
      </c>
      <c r="D31" s="15">
        <v>693.0</v>
      </c>
      <c r="E31" s="8" t="s">
        <v>358</v>
      </c>
      <c r="F31" s="16" t="str">
        <f>HYPERLINK("https://youtu.be/m41IeIUpqRI","watch")</f>
        <v>watch</v>
      </c>
      <c r="G31" s="17" t="s">
        <v>1177</v>
      </c>
      <c r="H31" s="10" t="s">
        <v>1050</v>
      </c>
      <c r="I31" s="10">
        <v>1.0</v>
      </c>
      <c r="J31" s="10" t="s">
        <v>28</v>
      </c>
      <c r="K31" s="10" t="s">
        <v>1180</v>
      </c>
      <c r="L31" s="10" t="s">
        <v>64</v>
      </c>
      <c r="M31" s="10"/>
      <c r="N31" s="10"/>
      <c r="O31" s="10"/>
      <c r="P31" s="10"/>
      <c r="Q31" s="10"/>
      <c r="R31" s="10"/>
      <c r="S31" s="10"/>
      <c r="T31" s="10"/>
      <c r="U31" s="10"/>
    </row>
    <row r="32" ht="15.75" customHeight="1">
      <c r="A32" s="8" t="s">
        <v>1188</v>
      </c>
      <c r="B32" s="8" t="s">
        <v>1190</v>
      </c>
      <c r="C32" s="8" t="s">
        <v>1168</v>
      </c>
      <c r="D32" s="15">
        <v>592.0</v>
      </c>
      <c r="E32" s="8" t="s">
        <v>358</v>
      </c>
      <c r="F32" s="16" t="str">
        <f>HYPERLINK("https://youtu.be/LGGJhVyJwDc","watch")</f>
        <v>watch</v>
      </c>
      <c r="G32" s="17" t="s">
        <v>1200</v>
      </c>
      <c r="H32" s="10" t="s">
        <v>810</v>
      </c>
      <c r="I32" s="10">
        <v>5.0</v>
      </c>
      <c r="J32" s="10" t="s">
        <v>48</v>
      </c>
      <c r="K32" s="10"/>
      <c r="L32" s="10" t="s">
        <v>42</v>
      </c>
      <c r="M32" s="10"/>
      <c r="N32" s="10"/>
      <c r="O32" s="10"/>
      <c r="P32" s="10"/>
      <c r="Q32" s="10"/>
      <c r="R32" s="10"/>
      <c r="S32" s="10"/>
      <c r="T32" s="10"/>
      <c r="U32" s="10"/>
    </row>
    <row r="33" ht="15.75" customHeight="1">
      <c r="A33" s="8" t="s">
        <v>1204</v>
      </c>
      <c r="B33" s="8" t="s">
        <v>1205</v>
      </c>
      <c r="C33" s="8" t="s">
        <v>1206</v>
      </c>
      <c r="D33" s="15">
        <v>654.0</v>
      </c>
      <c r="E33" s="8" t="s">
        <v>535</v>
      </c>
      <c r="F33" s="16" t="str">
        <f>HYPERLINK("https://youtu.be/SQ-_tTDutFA","watch")</f>
        <v>watch</v>
      </c>
      <c r="G33" s="17" t="s">
        <v>1210</v>
      </c>
      <c r="H33" s="10" t="s">
        <v>25</v>
      </c>
      <c r="I33" s="10">
        <v>2.0</v>
      </c>
      <c r="J33" s="10" t="s">
        <v>48</v>
      </c>
      <c r="K33" s="10"/>
      <c r="L33" s="10" t="s">
        <v>20</v>
      </c>
      <c r="M33" s="10"/>
      <c r="N33" s="10"/>
      <c r="O33" s="10"/>
      <c r="P33" s="10"/>
      <c r="Q33" s="10"/>
      <c r="R33" s="10"/>
      <c r="S33" s="10"/>
      <c r="T33" s="10"/>
      <c r="U33" s="10"/>
    </row>
    <row r="34" ht="15.75" customHeight="1">
      <c r="A34" s="8" t="s">
        <v>1215</v>
      </c>
      <c r="B34" s="8" t="s">
        <v>1217</v>
      </c>
      <c r="C34" s="8" t="s">
        <v>1206</v>
      </c>
      <c r="D34" s="15">
        <v>646.0</v>
      </c>
      <c r="E34" s="8" t="s">
        <v>492</v>
      </c>
      <c r="F34" s="16" t="str">
        <f>HYPERLINK("https://youtu.be/405aRLjbdmM","watch")</f>
        <v>watch</v>
      </c>
      <c r="G34" s="17" t="s">
        <v>1223</v>
      </c>
      <c r="H34" s="10" t="s">
        <v>301</v>
      </c>
      <c r="I34" s="10">
        <v>2.0</v>
      </c>
      <c r="J34" s="10" t="s">
        <v>48</v>
      </c>
      <c r="K34" s="10"/>
      <c r="L34" s="10" t="s">
        <v>20</v>
      </c>
      <c r="M34" s="10"/>
      <c r="N34" s="10"/>
      <c r="O34" s="10"/>
      <c r="P34" s="10"/>
      <c r="Q34" s="10"/>
      <c r="R34" s="10"/>
      <c r="S34" s="10"/>
      <c r="T34" s="10"/>
      <c r="U34" s="10"/>
    </row>
    <row r="35" ht="15.75" customHeight="1">
      <c r="A35" s="8" t="s">
        <v>1228</v>
      </c>
      <c r="B35" s="8" t="s">
        <v>1229</v>
      </c>
      <c r="C35" s="8" t="s">
        <v>1206</v>
      </c>
      <c r="D35" s="15">
        <v>722.0</v>
      </c>
      <c r="E35" s="8" t="s">
        <v>358</v>
      </c>
      <c r="F35" s="16" t="str">
        <f>HYPERLINK("https://youtu.be/yrfwnJKXRgo","watch")</f>
        <v>watch</v>
      </c>
      <c r="G35" s="17" t="s">
        <v>1236</v>
      </c>
      <c r="H35" s="10" t="s">
        <v>43</v>
      </c>
      <c r="I35" s="10">
        <v>2.0</v>
      </c>
      <c r="J35" s="10" t="s">
        <v>48</v>
      </c>
      <c r="K35" s="10"/>
      <c r="L35" s="10" t="s">
        <v>20</v>
      </c>
      <c r="M35" s="10"/>
      <c r="N35" s="10"/>
      <c r="O35" s="10"/>
      <c r="P35" s="10"/>
      <c r="Q35" s="10"/>
      <c r="R35" s="10"/>
      <c r="S35" s="10"/>
      <c r="T35" s="10"/>
      <c r="U35" s="10"/>
    </row>
    <row r="36" ht="15.75" customHeight="1">
      <c r="A36" s="8" t="s">
        <v>1243</v>
      </c>
      <c r="B36" s="8" t="s">
        <v>1248</v>
      </c>
      <c r="C36" s="8" t="s">
        <v>1249</v>
      </c>
      <c r="D36" s="15">
        <v>820.0</v>
      </c>
      <c r="E36" s="8" t="s">
        <v>735</v>
      </c>
      <c r="F36" s="16" t="str">
        <f>HYPERLINK("https://youtu.be/92-pjMEGpDI","watch")</f>
        <v>watch</v>
      </c>
      <c r="G36" s="17" t="s">
        <v>1254</v>
      </c>
      <c r="H36" s="10" t="s">
        <v>810</v>
      </c>
      <c r="I36" s="10">
        <v>6.0</v>
      </c>
      <c r="J36" s="10" t="s">
        <v>48</v>
      </c>
      <c r="K36" s="10"/>
      <c r="L36" s="10" t="s">
        <v>64</v>
      </c>
      <c r="M36" s="10"/>
      <c r="N36" s="10"/>
      <c r="O36" s="10"/>
      <c r="P36" s="10"/>
      <c r="Q36" s="10"/>
      <c r="R36" s="10"/>
      <c r="S36" s="10"/>
      <c r="T36" s="10"/>
      <c r="U36" s="10"/>
    </row>
    <row r="37" ht="15.75" customHeight="1">
      <c r="A37" s="8" t="s">
        <v>1257</v>
      </c>
      <c r="B37" s="8" t="s">
        <v>1259</v>
      </c>
      <c r="C37" s="8" t="s">
        <v>1260</v>
      </c>
      <c r="D37" s="15">
        <v>689.0</v>
      </c>
      <c r="E37" s="8" t="s">
        <v>358</v>
      </c>
      <c r="F37" s="16" t="str">
        <f>HYPERLINK("https://youtu.be/2S4poqmGKWE","watch")</f>
        <v>watch</v>
      </c>
      <c r="G37" s="17" t="s">
        <v>1265</v>
      </c>
      <c r="H37" s="10" t="s">
        <v>131</v>
      </c>
      <c r="I37" s="10">
        <v>3.0</v>
      </c>
      <c r="J37" s="10" t="s">
        <v>48</v>
      </c>
      <c r="K37" s="10"/>
      <c r="L37" s="10" t="s">
        <v>233</v>
      </c>
      <c r="M37" s="10"/>
      <c r="N37" s="10"/>
      <c r="O37" s="10"/>
      <c r="P37" s="10"/>
      <c r="Q37" s="10"/>
      <c r="R37" s="10"/>
      <c r="S37" s="10"/>
      <c r="T37" s="10"/>
      <c r="U37" s="10"/>
    </row>
    <row r="38" ht="15.75" customHeight="1">
      <c r="A38" s="8" t="s">
        <v>1270</v>
      </c>
      <c r="B38" s="8" t="s">
        <v>1271</v>
      </c>
      <c r="C38" s="8" t="s">
        <v>1260</v>
      </c>
      <c r="D38" s="15">
        <v>683.0</v>
      </c>
      <c r="E38" s="8" t="s">
        <v>492</v>
      </c>
      <c r="F38" s="16" t="str">
        <f>HYPERLINK("https://youtu.be/XxYqEIFgWvg","watch")</f>
        <v>watch</v>
      </c>
      <c r="G38" s="17" t="s">
        <v>1276</v>
      </c>
      <c r="H38" s="10" t="s">
        <v>810</v>
      </c>
      <c r="I38" s="10">
        <v>4.0</v>
      </c>
      <c r="J38" s="10" t="s">
        <v>48</v>
      </c>
      <c r="K38" s="10"/>
      <c r="L38" s="10" t="s">
        <v>42</v>
      </c>
      <c r="M38" s="10"/>
      <c r="N38" s="10"/>
      <c r="O38" s="10"/>
      <c r="P38" s="10"/>
      <c r="Q38" s="10"/>
      <c r="R38" s="10"/>
      <c r="S38" s="10"/>
      <c r="T38" s="10"/>
      <c r="U38" s="10"/>
    </row>
    <row r="39" ht="15.75" customHeight="1">
      <c r="A39" s="8" t="s">
        <v>1208</v>
      </c>
      <c r="B39" s="8" t="s">
        <v>1282</v>
      </c>
      <c r="C39" s="8" t="s">
        <v>1284</v>
      </c>
      <c r="D39" s="15">
        <v>862.0</v>
      </c>
      <c r="E39" s="8" t="s">
        <v>757</v>
      </c>
      <c r="F39" s="16" t="str">
        <f>HYPERLINK("https://youtu.be/q1WTwiauv3w","watch")</f>
        <v>watch</v>
      </c>
      <c r="G39" s="17" t="s">
        <v>1290</v>
      </c>
      <c r="H39" s="10" t="s">
        <v>301</v>
      </c>
      <c r="I39" s="10">
        <v>1.0</v>
      </c>
      <c r="J39" s="10" t="s">
        <v>28</v>
      </c>
      <c r="K39" s="10" t="s">
        <v>1291</v>
      </c>
      <c r="L39" s="10" t="s">
        <v>20</v>
      </c>
      <c r="M39" s="10"/>
      <c r="N39" s="10"/>
      <c r="O39" s="10"/>
      <c r="P39" s="10"/>
      <c r="Q39" s="10"/>
      <c r="R39" s="10"/>
      <c r="S39" s="10"/>
      <c r="T39" s="10"/>
      <c r="U39" s="10"/>
    </row>
    <row r="40" ht="15.75" customHeight="1">
      <c r="A40" s="8" t="s">
        <v>1211</v>
      </c>
      <c r="B40" s="8" t="s">
        <v>1296</v>
      </c>
      <c r="C40" s="8" t="s">
        <v>1284</v>
      </c>
      <c r="D40" s="15">
        <v>832.0</v>
      </c>
      <c r="E40" s="8" t="s">
        <v>735</v>
      </c>
      <c r="F40" s="16" t="str">
        <f>HYPERLINK("https://youtu.be/EtFK6nFW6IQ","watch")</f>
        <v>watch</v>
      </c>
      <c r="G40" s="17" t="s">
        <v>1236</v>
      </c>
      <c r="H40" s="10" t="s">
        <v>43</v>
      </c>
      <c r="I40" s="10">
        <v>1.0</v>
      </c>
      <c r="J40" s="10" t="s">
        <v>28</v>
      </c>
      <c r="K40" s="10" t="s">
        <v>1304</v>
      </c>
      <c r="L40" s="10" t="s">
        <v>20</v>
      </c>
      <c r="M40" s="10"/>
      <c r="N40" s="10"/>
      <c r="O40" s="10"/>
      <c r="P40" s="10"/>
      <c r="Q40" s="10"/>
      <c r="R40" s="10"/>
      <c r="S40" s="10"/>
      <c r="T40" s="10"/>
      <c r="U40" s="10"/>
    </row>
    <row r="41" ht="15.75" customHeight="1">
      <c r="A41" s="8" t="s">
        <v>1216</v>
      </c>
      <c r="B41" s="8" t="s">
        <v>1307</v>
      </c>
      <c r="C41" s="8" t="s">
        <v>49</v>
      </c>
      <c r="D41" s="15">
        <v>766.0</v>
      </c>
      <c r="E41" s="8" t="s">
        <v>535</v>
      </c>
      <c r="F41" s="16" t="str">
        <f>HYPERLINK("https://youtu.be/z9fpigSEZ3Y","watch")</f>
        <v>watch</v>
      </c>
      <c r="G41" s="17" t="s">
        <v>1312</v>
      </c>
      <c r="H41" s="10" t="s">
        <v>810</v>
      </c>
      <c r="I41" s="10">
        <v>5.0</v>
      </c>
      <c r="J41" s="10" t="s">
        <v>28</v>
      </c>
      <c r="K41" s="10" t="s">
        <v>1313</v>
      </c>
      <c r="L41" s="10" t="s">
        <v>64</v>
      </c>
      <c r="M41" s="10"/>
      <c r="N41" s="10"/>
      <c r="O41" s="10"/>
      <c r="P41" s="10"/>
      <c r="Q41" s="10"/>
      <c r="R41" s="10"/>
      <c r="S41" s="10"/>
      <c r="T41" s="10"/>
      <c r="U41" s="10"/>
    </row>
    <row r="42" ht="15.75" customHeight="1">
      <c r="A42" s="8" t="s">
        <v>1263</v>
      </c>
      <c r="B42" s="8" t="s">
        <v>1317</v>
      </c>
      <c r="C42" s="8" t="s">
        <v>49</v>
      </c>
      <c r="D42" s="15">
        <v>627.0</v>
      </c>
      <c r="E42" s="8" t="s">
        <v>757</v>
      </c>
      <c r="F42" s="16" t="str">
        <f>HYPERLINK("https://youtu.be/GTC45Mri_gc","watch")</f>
        <v>watch</v>
      </c>
      <c r="G42" s="17" t="s">
        <v>20</v>
      </c>
      <c r="H42" s="10" t="s">
        <v>25</v>
      </c>
      <c r="I42" s="10">
        <v>1.0</v>
      </c>
      <c r="J42" s="10" t="s">
        <v>28</v>
      </c>
      <c r="K42" s="10" t="s">
        <v>1326</v>
      </c>
      <c r="L42" s="10" t="s">
        <v>20</v>
      </c>
      <c r="M42" s="10"/>
      <c r="N42" s="10"/>
      <c r="O42" s="10"/>
      <c r="P42" s="10"/>
      <c r="Q42" s="10"/>
      <c r="R42" s="10"/>
      <c r="S42" s="10"/>
      <c r="T42" s="10"/>
      <c r="U42" s="10"/>
    </row>
    <row r="43" ht="15.75" customHeight="1">
      <c r="A43" s="8" t="s">
        <v>1329</v>
      </c>
      <c r="B43" s="8" t="s">
        <v>1331</v>
      </c>
      <c r="C43" s="8" t="s">
        <v>1333</v>
      </c>
      <c r="D43" s="15">
        <v>774.0</v>
      </c>
      <c r="E43" s="8" t="s">
        <v>492</v>
      </c>
      <c r="F43" s="16" t="str">
        <f>HYPERLINK("https://youtu.be/RtJn1UOi2S8","watch")</f>
        <v>watch</v>
      </c>
      <c r="G43" s="17" t="s">
        <v>1340</v>
      </c>
      <c r="H43" s="10" t="s">
        <v>131</v>
      </c>
      <c r="I43" s="10">
        <v>2.0</v>
      </c>
      <c r="J43" s="10" t="s">
        <v>48</v>
      </c>
      <c r="K43" s="10"/>
      <c r="L43" s="10" t="s">
        <v>209</v>
      </c>
      <c r="M43" s="10"/>
      <c r="N43" s="10"/>
      <c r="O43" s="10"/>
      <c r="P43" s="10"/>
      <c r="Q43" s="10"/>
      <c r="R43" s="10"/>
      <c r="S43" s="10"/>
      <c r="T43" s="10"/>
      <c r="U43" s="10"/>
    </row>
    <row r="44" ht="15.75" customHeight="1">
      <c r="A44" s="8" t="s">
        <v>1350</v>
      </c>
      <c r="B44" s="8" t="s">
        <v>1351</v>
      </c>
      <c r="C44" s="8" t="s">
        <v>1333</v>
      </c>
      <c r="D44" s="15">
        <v>988.0</v>
      </c>
      <c r="E44" s="8" t="s">
        <v>492</v>
      </c>
      <c r="F44" s="16" t="str">
        <f>HYPERLINK("https://youtu.be/rUOMBBOjrXI","watch")</f>
        <v>watch</v>
      </c>
      <c r="G44" s="17" t="s">
        <v>1356</v>
      </c>
      <c r="H44" s="10" t="s">
        <v>810</v>
      </c>
      <c r="I44" s="10">
        <v>3.0</v>
      </c>
      <c r="J44" s="10" t="s">
        <v>48</v>
      </c>
      <c r="K44" s="10"/>
      <c r="L44" s="10" t="s">
        <v>42</v>
      </c>
      <c r="M44" s="10"/>
      <c r="N44" s="10"/>
      <c r="O44" s="10"/>
      <c r="P44" s="10"/>
      <c r="Q44" s="10"/>
      <c r="R44" s="10"/>
      <c r="S44" s="10"/>
      <c r="T44" s="10"/>
      <c r="U44" s="10"/>
    </row>
    <row r="45" ht="15.75" customHeight="1">
      <c r="A45" s="8" t="s">
        <v>1268</v>
      </c>
      <c r="B45" s="8" t="s">
        <v>1361</v>
      </c>
      <c r="C45" s="8" t="s">
        <v>1362</v>
      </c>
      <c r="D45" s="15">
        <v>923.0</v>
      </c>
      <c r="E45" s="8" t="s">
        <v>735</v>
      </c>
      <c r="F45" s="16" t="str">
        <f>HYPERLINK("https://youtu.be/pRkDVGXWufQ","watch")</f>
        <v>watch</v>
      </c>
      <c r="G45" s="17" t="s">
        <v>1368</v>
      </c>
      <c r="H45" s="10" t="s">
        <v>810</v>
      </c>
      <c r="I45" s="10">
        <v>2.0</v>
      </c>
      <c r="J45" s="10" t="s">
        <v>28</v>
      </c>
      <c r="K45" s="10" t="s">
        <v>1371</v>
      </c>
      <c r="L45" s="10" t="s">
        <v>42</v>
      </c>
      <c r="M45" s="10"/>
      <c r="N45" s="10"/>
      <c r="O45" s="10"/>
      <c r="P45" s="10"/>
      <c r="Q45" s="10"/>
      <c r="R45" s="10"/>
      <c r="S45" s="10"/>
      <c r="T45" s="10"/>
      <c r="U45" s="10"/>
    </row>
    <row r="46" ht="15.75" customHeight="1">
      <c r="A46" s="8" t="s">
        <v>1274</v>
      </c>
      <c r="B46" s="8" t="s">
        <v>1380</v>
      </c>
      <c r="C46" s="8" t="s">
        <v>1362</v>
      </c>
      <c r="D46" s="15">
        <v>774.0</v>
      </c>
      <c r="E46" s="8" t="s">
        <v>735</v>
      </c>
      <c r="F46" s="16" t="str">
        <f>HYPERLINK("https://youtu.be/X0KK70SjzEM","watch")</f>
        <v>watch</v>
      </c>
      <c r="G46" s="17" t="s">
        <v>1390</v>
      </c>
      <c r="H46" s="10" t="s">
        <v>810</v>
      </c>
      <c r="I46" s="10">
        <v>4.0</v>
      </c>
      <c r="J46" s="10" t="s">
        <v>28</v>
      </c>
      <c r="K46" s="10" t="s">
        <v>1393</v>
      </c>
      <c r="L46" s="10" t="s">
        <v>64</v>
      </c>
      <c r="M46" s="10"/>
      <c r="N46" s="10"/>
      <c r="O46" s="10"/>
      <c r="P46" s="10"/>
      <c r="Q46" s="10"/>
      <c r="R46" s="10"/>
      <c r="S46" s="10"/>
      <c r="T46" s="10"/>
      <c r="U46" s="10"/>
    </row>
    <row r="47" ht="15.75" customHeight="1">
      <c r="A47" s="8" t="s">
        <v>1401</v>
      </c>
      <c r="B47" s="8" t="s">
        <v>1405</v>
      </c>
      <c r="C47" s="8" t="s">
        <v>1407</v>
      </c>
      <c r="D47" s="15">
        <v>809.0</v>
      </c>
      <c r="E47" s="8" t="s">
        <v>358</v>
      </c>
      <c r="F47" s="16" t="str">
        <f>HYPERLINK("https://youtu.be/STMGjXcUAm4","watch")</f>
        <v>watch</v>
      </c>
      <c r="G47" s="17" t="s">
        <v>1414</v>
      </c>
      <c r="H47" s="10" t="s">
        <v>810</v>
      </c>
      <c r="I47" s="10">
        <v>3.0</v>
      </c>
      <c r="J47" s="10" t="s">
        <v>48</v>
      </c>
      <c r="K47" s="10"/>
      <c r="L47" s="10" t="s">
        <v>64</v>
      </c>
      <c r="M47" s="10"/>
      <c r="N47" s="10"/>
      <c r="O47" s="10"/>
      <c r="P47" s="10"/>
      <c r="Q47" s="10"/>
      <c r="R47" s="10"/>
      <c r="S47" s="10"/>
      <c r="T47" s="10"/>
      <c r="U47" s="10"/>
    </row>
    <row r="48" ht="15.75" customHeight="1">
      <c r="A48" s="8" t="s">
        <v>1279</v>
      </c>
      <c r="B48" s="8" t="s">
        <v>1419</v>
      </c>
      <c r="C48" s="8" t="s">
        <v>1407</v>
      </c>
      <c r="D48" s="15">
        <v>782.0</v>
      </c>
      <c r="E48" s="8" t="s">
        <v>757</v>
      </c>
      <c r="F48" s="16" t="str">
        <f>HYPERLINK("https://youtu.be/O1hNutypTR8","watch")</f>
        <v>watch</v>
      </c>
      <c r="G48" s="17" t="s">
        <v>1177</v>
      </c>
      <c r="H48" s="10" t="s">
        <v>131</v>
      </c>
      <c r="I48" s="10">
        <v>1.0</v>
      </c>
      <c r="J48" s="10" t="s">
        <v>28</v>
      </c>
      <c r="K48" s="10" t="s">
        <v>1425</v>
      </c>
      <c r="L48" s="10" t="s">
        <v>64</v>
      </c>
      <c r="M48" s="10"/>
      <c r="N48" s="10"/>
      <c r="O48" s="10"/>
      <c r="P48" s="10"/>
      <c r="Q48" s="10"/>
      <c r="R48" s="10"/>
      <c r="S48" s="10"/>
      <c r="T48" s="10"/>
      <c r="U48" s="10"/>
    </row>
    <row r="49" ht="15.75" customHeight="1">
      <c r="A49" s="8" t="s">
        <v>1427</v>
      </c>
      <c r="B49" s="8" t="s">
        <v>1428</v>
      </c>
      <c r="C49" s="8" t="s">
        <v>1429</v>
      </c>
      <c r="D49" s="15">
        <v>629.0</v>
      </c>
      <c r="E49" s="8" t="s">
        <v>358</v>
      </c>
      <c r="F49" s="16" t="str">
        <f>HYPERLINK("https://youtu.be/xqV7AYXoVJs","watch")</f>
        <v>watch</v>
      </c>
      <c r="G49" s="17" t="s">
        <v>1434</v>
      </c>
      <c r="H49" s="10" t="s">
        <v>200</v>
      </c>
      <c r="I49" s="10">
        <v>4.0</v>
      </c>
      <c r="J49" s="10" t="s">
        <v>48</v>
      </c>
      <c r="K49" s="10"/>
      <c r="L49" s="10" t="s">
        <v>81</v>
      </c>
      <c r="M49" s="10"/>
      <c r="N49" s="10"/>
      <c r="O49" s="10"/>
      <c r="P49" s="10"/>
      <c r="Q49" s="10"/>
      <c r="R49" s="10"/>
      <c r="S49" s="10"/>
      <c r="T49" s="10"/>
      <c r="U49" s="10"/>
    </row>
    <row r="50" ht="15.75" customHeight="1">
      <c r="A50" s="8" t="s">
        <v>1283</v>
      </c>
      <c r="B50" s="8" t="s">
        <v>1440</v>
      </c>
      <c r="C50" s="8" t="s">
        <v>1429</v>
      </c>
      <c r="D50" s="15">
        <v>860.0</v>
      </c>
      <c r="E50" s="8" t="s">
        <v>228</v>
      </c>
      <c r="F50" s="16" t="str">
        <f>HYPERLINK("https://youtu.be/RP08BTumj2U","watch")</f>
        <v>watch</v>
      </c>
      <c r="G50" s="17" t="s">
        <v>1442</v>
      </c>
      <c r="H50" s="10" t="s">
        <v>810</v>
      </c>
      <c r="I50" s="10">
        <v>1.0</v>
      </c>
      <c r="J50" s="10" t="s">
        <v>28</v>
      </c>
      <c r="K50" s="10" t="s">
        <v>1443</v>
      </c>
      <c r="L50" s="10" t="s">
        <v>42</v>
      </c>
      <c r="M50" s="10"/>
      <c r="N50" s="10"/>
      <c r="O50" s="10"/>
      <c r="P50" s="10"/>
      <c r="Q50" s="10"/>
      <c r="R50" s="10"/>
      <c r="S50" s="10"/>
      <c r="T50" s="10"/>
      <c r="U50" s="10"/>
    </row>
    <row r="51" ht="15.75" customHeight="1">
      <c r="A51" s="8" t="s">
        <v>1287</v>
      </c>
      <c r="B51" s="8" t="s">
        <v>1446</v>
      </c>
      <c r="C51" s="8" t="s">
        <v>1447</v>
      </c>
      <c r="D51" s="15">
        <v>707.0</v>
      </c>
      <c r="E51" s="8" t="s">
        <v>735</v>
      </c>
      <c r="F51" s="16" t="str">
        <f>HYPERLINK("https://youtu.be/nBKJMnw9L2Y","watch")</f>
        <v>watch</v>
      </c>
      <c r="G51" s="17" t="s">
        <v>1451</v>
      </c>
      <c r="H51" s="10" t="s">
        <v>200</v>
      </c>
      <c r="I51" s="10">
        <v>3.0</v>
      </c>
      <c r="J51" s="10" t="s">
        <v>28</v>
      </c>
      <c r="K51" s="10" t="s">
        <v>1452</v>
      </c>
      <c r="L51" s="10" t="s">
        <v>81</v>
      </c>
      <c r="M51" s="10"/>
      <c r="N51" s="10"/>
      <c r="O51" s="10"/>
      <c r="P51" s="10"/>
      <c r="Q51" s="10"/>
      <c r="R51" s="10"/>
      <c r="S51" s="10"/>
      <c r="T51" s="10"/>
      <c r="U51" s="10"/>
    </row>
    <row r="52" ht="15.75" customHeight="1">
      <c r="A52" s="8" t="s">
        <v>1292</v>
      </c>
      <c r="B52" s="8" t="s">
        <v>1454</v>
      </c>
      <c r="C52" s="8" t="s">
        <v>1447</v>
      </c>
      <c r="D52" s="15">
        <v>715.0</v>
      </c>
      <c r="E52" s="8" t="s">
        <v>492</v>
      </c>
      <c r="F52" s="16" t="str">
        <f>HYPERLINK("https://youtu.be/9CpAz0MxnTE","watch")</f>
        <v>watch</v>
      </c>
      <c r="G52" s="17" t="s">
        <v>1458</v>
      </c>
      <c r="H52" s="10" t="s">
        <v>810</v>
      </c>
      <c r="I52" s="10">
        <v>2.0</v>
      </c>
      <c r="J52" s="10" t="s">
        <v>28</v>
      </c>
      <c r="K52" s="10" t="s">
        <v>1459</v>
      </c>
      <c r="L52" s="10" t="s">
        <v>64</v>
      </c>
      <c r="M52" s="10"/>
      <c r="N52" s="10"/>
      <c r="O52" s="10"/>
      <c r="P52" s="10"/>
      <c r="Q52" s="10"/>
      <c r="R52" s="10"/>
      <c r="S52" s="10"/>
      <c r="T52" s="10"/>
      <c r="U52" s="10"/>
    </row>
    <row r="53" ht="15.75" customHeight="1">
      <c r="A53" s="8" t="s">
        <v>1297</v>
      </c>
      <c r="B53" s="8" t="s">
        <v>1462</v>
      </c>
      <c r="C53" s="8" t="s">
        <v>1463</v>
      </c>
      <c r="D53" s="15">
        <v>1647.0</v>
      </c>
      <c r="E53" s="8" t="s">
        <v>1013</v>
      </c>
      <c r="F53" s="16" t="str">
        <f>HYPERLINK("https://youtu.be/gFZ_jiV7DEY","watch")</f>
        <v>watch</v>
      </c>
      <c r="G53" s="17" t="s">
        <v>1466</v>
      </c>
      <c r="H53" s="10" t="s">
        <v>200</v>
      </c>
      <c r="I53" s="10">
        <v>4.0</v>
      </c>
      <c r="J53" s="10" t="s">
        <v>28</v>
      </c>
      <c r="K53" s="10" t="s">
        <v>1467</v>
      </c>
      <c r="L53" s="10" t="s">
        <v>81</v>
      </c>
      <c r="M53" s="10"/>
      <c r="N53" s="10"/>
      <c r="O53" s="10"/>
      <c r="P53" s="10"/>
      <c r="Q53" s="10"/>
      <c r="R53" s="10"/>
      <c r="S53" s="10"/>
      <c r="T53" s="10"/>
      <c r="U53" s="10"/>
    </row>
    <row r="54" ht="15.75" customHeight="1">
      <c r="A54" s="8" t="s">
        <v>1471</v>
      </c>
      <c r="B54" s="8" t="s">
        <v>1472</v>
      </c>
      <c r="C54" s="8" t="s">
        <v>1463</v>
      </c>
      <c r="D54" s="15">
        <v>844.0</v>
      </c>
      <c r="E54" s="8" t="s">
        <v>358</v>
      </c>
      <c r="F54" s="16" t="str">
        <f>HYPERLINK("https://youtu.be/DTBxGFtTOc8","watch")</f>
        <v>watch</v>
      </c>
      <c r="G54" s="17" t="s">
        <v>1475</v>
      </c>
      <c r="H54" s="10" t="s">
        <v>810</v>
      </c>
      <c r="I54" s="10">
        <v>1.0</v>
      </c>
      <c r="J54" s="10" t="s">
        <v>48</v>
      </c>
      <c r="K54" s="10"/>
      <c r="L54" s="10" t="s">
        <v>64</v>
      </c>
      <c r="M54" s="10"/>
      <c r="N54" s="10"/>
      <c r="O54" s="10"/>
      <c r="P54" s="10"/>
      <c r="Q54" s="10"/>
      <c r="R54" s="10"/>
      <c r="S54" s="10"/>
      <c r="T54" s="10"/>
      <c r="U54" s="10"/>
    </row>
    <row r="55" ht="15.75" customHeight="1">
      <c r="A55" s="8" t="s">
        <v>1477</v>
      </c>
      <c r="B55" s="8" t="s">
        <v>1479</v>
      </c>
      <c r="C55" s="8" t="s">
        <v>1480</v>
      </c>
      <c r="D55" s="15">
        <v>724.0</v>
      </c>
      <c r="E55" s="8" t="s">
        <v>358</v>
      </c>
      <c r="F55" s="16" t="str">
        <f>HYPERLINK("https://youtu.be/uTGe-WswoVY","watch")</f>
        <v>watch</v>
      </c>
      <c r="G55" s="17" t="s">
        <v>1482</v>
      </c>
      <c r="H55" s="10" t="s">
        <v>200</v>
      </c>
      <c r="I55" s="10">
        <v>2.0</v>
      </c>
      <c r="J55" s="10" t="s">
        <v>48</v>
      </c>
      <c r="K55" s="10"/>
      <c r="L55" s="10" t="s">
        <v>81</v>
      </c>
      <c r="M55" s="10"/>
      <c r="N55" s="10"/>
      <c r="O55" s="10"/>
      <c r="P55" s="10"/>
      <c r="Q55" s="10"/>
      <c r="R55" s="10"/>
      <c r="S55" s="10"/>
      <c r="T55" s="10"/>
      <c r="U55" s="10"/>
    </row>
    <row r="56" ht="15.75" customHeight="1">
      <c r="A56" s="8" t="s">
        <v>1484</v>
      </c>
      <c r="B56" s="8" t="s">
        <v>1485</v>
      </c>
      <c r="C56" s="8" t="s">
        <v>1480</v>
      </c>
      <c r="D56" s="15">
        <v>785.0</v>
      </c>
      <c r="E56" s="8" t="s">
        <v>757</v>
      </c>
      <c r="F56" s="16" t="str">
        <f>HYPERLINK("https://youtu.be/xGmQaLcx-c8","watch")</f>
        <v>watch</v>
      </c>
      <c r="G56" s="17" t="s">
        <v>1488</v>
      </c>
      <c r="H56" s="10" t="s">
        <v>301</v>
      </c>
      <c r="I56" s="10">
        <v>9.0</v>
      </c>
      <c r="J56" s="10" t="s">
        <v>48</v>
      </c>
      <c r="K56" s="10"/>
      <c r="L56" s="10" t="s">
        <v>42</v>
      </c>
      <c r="M56" s="10"/>
      <c r="N56" s="10"/>
      <c r="O56" s="10"/>
      <c r="P56" s="10"/>
      <c r="Q56" s="10"/>
      <c r="R56" s="10"/>
      <c r="S56" s="10"/>
      <c r="T56" s="10"/>
      <c r="U56" s="10"/>
    </row>
    <row r="57" ht="15.75" customHeight="1">
      <c r="A57" s="8" t="s">
        <v>1491</v>
      </c>
      <c r="B57" s="8" t="s">
        <v>1492</v>
      </c>
      <c r="C57" s="8" t="s">
        <v>1493</v>
      </c>
      <c r="D57" s="15">
        <v>755.0</v>
      </c>
      <c r="E57" s="8" t="s">
        <v>735</v>
      </c>
      <c r="F57" s="16" t="str">
        <f>HYPERLINK("https://youtu.be/iV0h672wrGA","watch")</f>
        <v>watch</v>
      </c>
      <c r="G57" s="17" t="s">
        <v>1495</v>
      </c>
      <c r="H57" s="10" t="s">
        <v>301</v>
      </c>
      <c r="I57" s="10">
        <v>8.0</v>
      </c>
      <c r="J57" s="10" t="s">
        <v>48</v>
      </c>
      <c r="K57" s="10"/>
      <c r="L57" s="10" t="s">
        <v>42</v>
      </c>
      <c r="M57" s="10"/>
      <c r="N57" s="10"/>
      <c r="O57" s="10"/>
      <c r="P57" s="10"/>
      <c r="Q57" s="10"/>
      <c r="R57" s="10"/>
      <c r="S57" s="10"/>
      <c r="T57" s="10"/>
      <c r="U57" s="10"/>
    </row>
    <row r="58" ht="15.75" customHeight="1">
      <c r="A58" s="8" t="s">
        <v>1302</v>
      </c>
      <c r="B58" s="8" t="s">
        <v>1498</v>
      </c>
      <c r="C58" s="8" t="s">
        <v>1493</v>
      </c>
      <c r="D58" s="15">
        <v>537.0</v>
      </c>
      <c r="E58" s="8" t="s">
        <v>228</v>
      </c>
      <c r="F58" s="16" t="str">
        <f>HYPERLINK("https://youtu.be/u9zpVOVsWyg","watch")</f>
        <v>watch</v>
      </c>
      <c r="G58" s="17" t="s">
        <v>1451</v>
      </c>
      <c r="H58" s="10" t="s">
        <v>200</v>
      </c>
      <c r="I58" s="10">
        <v>3.0</v>
      </c>
      <c r="J58" s="10" t="s">
        <v>28</v>
      </c>
      <c r="K58" s="10" t="s">
        <v>1500</v>
      </c>
      <c r="L58" s="10" t="s">
        <v>81</v>
      </c>
      <c r="M58" s="10"/>
      <c r="N58" s="10"/>
      <c r="O58" s="10"/>
      <c r="P58" s="10"/>
      <c r="Q58" s="10"/>
      <c r="R58" s="10"/>
      <c r="S58" s="10"/>
      <c r="T58" s="10"/>
      <c r="U58" s="10"/>
    </row>
    <row r="59" ht="15.75" customHeight="1">
      <c r="A59" s="8" t="s">
        <v>1502</v>
      </c>
      <c r="B59" s="8" t="s">
        <v>1503</v>
      </c>
      <c r="C59" s="8" t="s">
        <v>1504</v>
      </c>
      <c r="D59" s="15">
        <v>776.0</v>
      </c>
      <c r="E59" s="8" t="s">
        <v>358</v>
      </c>
      <c r="F59" s="16" t="str">
        <f>HYPERLINK("https://youtu.be/MCe_0kpYnwE","watch")</f>
        <v>watch</v>
      </c>
      <c r="G59" s="17" t="s">
        <v>1506</v>
      </c>
      <c r="H59" s="10" t="s">
        <v>301</v>
      </c>
      <c r="I59" s="10">
        <v>7.0</v>
      </c>
      <c r="J59" s="10" t="s">
        <v>48</v>
      </c>
      <c r="K59" s="10"/>
      <c r="L59" s="10" t="s">
        <v>42</v>
      </c>
      <c r="M59" s="10"/>
      <c r="N59" s="10"/>
      <c r="O59" s="10"/>
      <c r="P59" s="10"/>
      <c r="Q59" s="10"/>
      <c r="R59" s="10"/>
      <c r="S59" s="10"/>
      <c r="T59" s="10"/>
      <c r="U59" s="10"/>
    </row>
    <row r="60" ht="15.75" customHeight="1">
      <c r="A60" s="8" t="s">
        <v>1508</v>
      </c>
      <c r="B60" s="8" t="s">
        <v>1509</v>
      </c>
      <c r="C60" s="8" t="s">
        <v>1504</v>
      </c>
      <c r="D60" s="15">
        <v>1024.0</v>
      </c>
      <c r="E60" s="8" t="s">
        <v>492</v>
      </c>
      <c r="F60" s="16" t="str">
        <f>HYPERLINK("https://youtu.be/WhfY82RrS4w","watch")</f>
        <v>watch</v>
      </c>
      <c r="G60" s="17" t="s">
        <v>1513</v>
      </c>
      <c r="H60" s="10" t="s">
        <v>200</v>
      </c>
      <c r="I60" s="10">
        <v>1.0</v>
      </c>
      <c r="J60" s="10" t="s">
        <v>48</v>
      </c>
      <c r="K60" s="10"/>
      <c r="L60" s="10" t="s">
        <v>81</v>
      </c>
      <c r="M60" s="10"/>
      <c r="N60" s="10"/>
      <c r="O60" s="10"/>
      <c r="P60" s="10"/>
      <c r="Q60" s="10"/>
      <c r="R60" s="10"/>
      <c r="S60" s="10"/>
      <c r="T60" s="10"/>
      <c r="U60" s="10"/>
    </row>
    <row r="61" ht="15.75" customHeight="1">
      <c r="A61" s="8" t="s">
        <v>1306</v>
      </c>
      <c r="B61" s="8" t="s">
        <v>1515</v>
      </c>
      <c r="C61" s="8" t="s">
        <v>1516</v>
      </c>
      <c r="D61" s="15">
        <v>736.0</v>
      </c>
      <c r="E61" s="8" t="s">
        <v>492</v>
      </c>
      <c r="F61" s="16" t="str">
        <f>HYPERLINK("https://youtu.be/x3gI4dEKNMs","watch")</f>
        <v>watch</v>
      </c>
      <c r="G61" s="17" t="s">
        <v>1519</v>
      </c>
      <c r="H61" s="10" t="s">
        <v>301</v>
      </c>
      <c r="I61" s="10">
        <v>6.0</v>
      </c>
      <c r="J61" s="10" t="s">
        <v>28</v>
      </c>
      <c r="K61" s="10" t="s">
        <v>1520</v>
      </c>
      <c r="L61" s="10" t="s">
        <v>42</v>
      </c>
      <c r="M61" s="10"/>
      <c r="N61" s="10"/>
      <c r="O61" s="10"/>
      <c r="P61" s="10"/>
      <c r="Q61" s="10"/>
      <c r="R61" s="10"/>
      <c r="S61" s="10"/>
      <c r="T61" s="10"/>
      <c r="U61" s="10"/>
    </row>
    <row r="62" ht="15.75" customHeight="1">
      <c r="A62" s="8" t="s">
        <v>1314</v>
      </c>
      <c r="B62" s="8" t="s">
        <v>1523</v>
      </c>
      <c r="C62" s="8" t="s">
        <v>1516</v>
      </c>
      <c r="D62" s="15">
        <v>612.0</v>
      </c>
      <c r="E62" s="8" t="s">
        <v>757</v>
      </c>
      <c r="F62" s="16" t="str">
        <f>HYPERLINK("https://youtu.be/Nqu1vGtbAME","watch")</f>
        <v>watch</v>
      </c>
      <c r="G62" s="17" t="s">
        <v>1526</v>
      </c>
      <c r="H62" s="10" t="s">
        <v>200</v>
      </c>
      <c r="I62" s="10">
        <v>2.0</v>
      </c>
      <c r="J62" s="10" t="s">
        <v>28</v>
      </c>
      <c r="K62" s="10" t="s">
        <v>1452</v>
      </c>
      <c r="L62" s="10" t="s">
        <v>81</v>
      </c>
      <c r="M62" s="10"/>
      <c r="N62" s="10"/>
      <c r="O62" s="10"/>
      <c r="P62" s="10"/>
      <c r="Q62" s="10"/>
      <c r="R62" s="10"/>
      <c r="S62" s="10"/>
      <c r="T62" s="10"/>
      <c r="U62" s="10"/>
    </row>
    <row r="63" ht="15.75" customHeight="1">
      <c r="A63" s="8" t="s">
        <v>1529</v>
      </c>
      <c r="B63" s="8" t="s">
        <v>1530</v>
      </c>
      <c r="C63" s="8" t="s">
        <v>1531</v>
      </c>
      <c r="D63" s="15">
        <v>761.0</v>
      </c>
      <c r="E63" s="8" t="s">
        <v>735</v>
      </c>
      <c r="F63" s="16" t="str">
        <f>HYPERLINK("https://youtu.be/LvWz0hfaQVE","watch")</f>
        <v>watch</v>
      </c>
      <c r="G63" s="17" t="s">
        <v>1534</v>
      </c>
      <c r="H63" s="10" t="s">
        <v>301</v>
      </c>
      <c r="I63" s="10">
        <v>5.0</v>
      </c>
      <c r="J63" s="10" t="s">
        <v>48</v>
      </c>
      <c r="K63" s="10"/>
      <c r="L63" s="10" t="s">
        <v>42</v>
      </c>
      <c r="M63" s="10"/>
      <c r="N63" s="10"/>
      <c r="O63" s="10"/>
      <c r="P63" s="10"/>
      <c r="Q63" s="10"/>
      <c r="R63" s="10"/>
      <c r="S63" s="10"/>
      <c r="T63" s="10"/>
      <c r="U63" s="10"/>
    </row>
    <row r="64" ht="15.75" customHeight="1">
      <c r="A64" s="8" t="s">
        <v>1536</v>
      </c>
      <c r="B64" s="8" t="s">
        <v>1537</v>
      </c>
      <c r="C64" s="8" t="s">
        <v>1531</v>
      </c>
      <c r="D64" s="15">
        <v>496.0</v>
      </c>
      <c r="E64" s="8" t="s">
        <v>358</v>
      </c>
      <c r="F64" s="16" t="str">
        <f>HYPERLINK("https://youtu.be/blSCuSk5nb0","watch")</f>
        <v>watch</v>
      </c>
      <c r="G64" s="17" t="s">
        <v>1539</v>
      </c>
      <c r="H64" s="10" t="s">
        <v>200</v>
      </c>
      <c r="I64" s="10">
        <v>1.0</v>
      </c>
      <c r="J64" s="10" t="s">
        <v>48</v>
      </c>
      <c r="K64" s="10"/>
      <c r="L64" s="10" t="s">
        <v>81</v>
      </c>
      <c r="M64" s="10"/>
      <c r="N64" s="10"/>
      <c r="O64" s="10"/>
      <c r="P64" s="10"/>
      <c r="Q64" s="10"/>
      <c r="R64" s="10"/>
      <c r="S64" s="10"/>
      <c r="T64" s="10"/>
      <c r="U64" s="10"/>
    </row>
    <row r="65" ht="15.75" customHeight="1">
      <c r="A65" s="8" t="s">
        <v>1318</v>
      </c>
      <c r="B65" s="8" t="s">
        <v>1540</v>
      </c>
      <c r="C65" s="8" t="s">
        <v>1541</v>
      </c>
      <c r="D65" s="15">
        <v>1110.0</v>
      </c>
      <c r="E65" s="8" t="s">
        <v>757</v>
      </c>
      <c r="F65" s="16" t="str">
        <f>HYPERLINK("https://youtu.be/rlJDEb0q1d0","watch")</f>
        <v>watch</v>
      </c>
      <c r="G65" s="17" t="s">
        <v>1534</v>
      </c>
      <c r="H65" s="10" t="s">
        <v>301</v>
      </c>
      <c r="I65" s="10">
        <v>4.0</v>
      </c>
      <c r="J65" s="10" t="s">
        <v>28</v>
      </c>
      <c r="K65" s="10" t="s">
        <v>1371</v>
      </c>
      <c r="L65" s="10" t="s">
        <v>42</v>
      </c>
      <c r="M65" s="10"/>
      <c r="N65" s="10"/>
      <c r="O65" s="10"/>
      <c r="P65" s="10"/>
      <c r="Q65" s="10"/>
      <c r="R65" s="10"/>
      <c r="S65" s="10"/>
      <c r="T65" s="10"/>
      <c r="U65" s="10"/>
    </row>
    <row r="66" ht="15.75" customHeight="1">
      <c r="A66" s="8" t="s">
        <v>1544</v>
      </c>
      <c r="B66" s="8" t="s">
        <v>1545</v>
      </c>
      <c r="C66" s="8" t="s">
        <v>1541</v>
      </c>
      <c r="D66" s="15">
        <v>814.0</v>
      </c>
      <c r="E66" s="8" t="s">
        <v>757</v>
      </c>
      <c r="F66" s="16" t="str">
        <f>HYPERLINK("https://youtu.be/UpdeUMc-6ys","watch")</f>
        <v>watch</v>
      </c>
      <c r="G66" s="17" t="s">
        <v>1549</v>
      </c>
      <c r="H66" s="10" t="s">
        <v>131</v>
      </c>
      <c r="I66" s="10">
        <v>3.0</v>
      </c>
      <c r="J66" s="10" t="s">
        <v>48</v>
      </c>
      <c r="K66" s="10"/>
      <c r="L66" s="10" t="s">
        <v>233</v>
      </c>
      <c r="M66" s="10"/>
      <c r="N66" s="10"/>
      <c r="O66" s="10"/>
      <c r="P66" s="10"/>
      <c r="Q66" s="10"/>
      <c r="R66" s="10"/>
      <c r="S66" s="10"/>
      <c r="T66" s="10"/>
      <c r="U66" s="10"/>
    </row>
    <row r="67" ht="15.75" customHeight="1">
      <c r="A67" s="8" t="s">
        <v>1321</v>
      </c>
      <c r="B67" s="8" t="s">
        <v>1552</v>
      </c>
      <c r="C67" s="8" t="s">
        <v>1553</v>
      </c>
      <c r="D67" s="15">
        <v>20.0</v>
      </c>
      <c r="E67" s="8" t="s">
        <v>1554</v>
      </c>
      <c r="F67" s="16" t="str">
        <f>HYPERLINK("https://youtu.be/M7NqqhR8V4M","watch")</f>
        <v>watch</v>
      </c>
      <c r="G67" s="17" t="s">
        <v>1558</v>
      </c>
      <c r="H67" s="10" t="s">
        <v>1559</v>
      </c>
      <c r="I67" s="10">
        <v>3.0</v>
      </c>
      <c r="J67" s="10" t="s">
        <v>28</v>
      </c>
      <c r="K67" s="18" t="s">
        <v>1561</v>
      </c>
      <c r="L67" s="18" t="s">
        <v>1562</v>
      </c>
      <c r="M67" s="10"/>
      <c r="N67" s="10"/>
      <c r="O67" s="10"/>
      <c r="P67" s="10"/>
      <c r="Q67" s="10"/>
      <c r="R67" s="10"/>
      <c r="S67" s="10"/>
      <c r="T67" s="10"/>
      <c r="U67" s="10"/>
    </row>
    <row r="68" ht="15.75" customHeight="1">
      <c r="A68" s="8" t="s">
        <v>1339</v>
      </c>
      <c r="B68" s="8" t="s">
        <v>1564</v>
      </c>
      <c r="C68" s="8" t="s">
        <v>1553</v>
      </c>
      <c r="D68" s="15">
        <v>961.0</v>
      </c>
      <c r="E68" s="8" t="s">
        <v>228</v>
      </c>
      <c r="F68" s="16" t="str">
        <f>HYPERLINK("https://youtu.be/lrl5v4z317s","watch")</f>
        <v>watch</v>
      </c>
      <c r="G68" s="17" t="s">
        <v>1567</v>
      </c>
      <c r="H68" s="10" t="s">
        <v>131</v>
      </c>
      <c r="I68" s="10">
        <v>2.0</v>
      </c>
      <c r="J68" s="10" t="s">
        <v>28</v>
      </c>
      <c r="K68" s="10" t="s">
        <v>1568</v>
      </c>
      <c r="L68" s="10" t="s">
        <v>209</v>
      </c>
      <c r="M68" s="10"/>
      <c r="N68" s="10"/>
      <c r="O68" s="10"/>
      <c r="P68" s="10"/>
      <c r="Q68" s="10"/>
      <c r="R68" s="10"/>
      <c r="S68" s="10"/>
      <c r="T68" s="10"/>
      <c r="U68" s="10"/>
    </row>
    <row r="69" ht="15.75" customHeight="1">
      <c r="A69" s="8" t="s">
        <v>1348</v>
      </c>
      <c r="B69" s="8" t="s">
        <v>1569</v>
      </c>
      <c r="C69" s="8" t="s">
        <v>1570</v>
      </c>
      <c r="D69" s="15">
        <v>937.0</v>
      </c>
      <c r="E69" s="8" t="s">
        <v>492</v>
      </c>
      <c r="F69" s="16" t="str">
        <f>HYPERLINK("https://youtu.be/EJ0AKqX2a_Q","watch")</f>
        <v>watch</v>
      </c>
      <c r="G69" s="17" t="s">
        <v>1572</v>
      </c>
      <c r="H69" s="10" t="s">
        <v>131</v>
      </c>
      <c r="I69" s="10">
        <v>1.0</v>
      </c>
      <c r="J69" s="10" t="s">
        <v>28</v>
      </c>
      <c r="K69" s="10" t="s">
        <v>1313</v>
      </c>
      <c r="L69" s="10" t="s">
        <v>64</v>
      </c>
      <c r="M69" s="10"/>
      <c r="N69" s="10"/>
      <c r="O69" s="10"/>
      <c r="P69" s="10"/>
      <c r="Q69" s="10"/>
      <c r="R69" s="10"/>
      <c r="S69" s="10"/>
      <c r="T69" s="10"/>
      <c r="U69" s="10"/>
    </row>
    <row r="70" ht="15.75" customHeight="1">
      <c r="A70" s="8" t="s">
        <v>1353</v>
      </c>
      <c r="B70" s="8" t="s">
        <v>1574</v>
      </c>
      <c r="C70" s="8" t="s">
        <v>1570</v>
      </c>
      <c r="D70" s="15">
        <v>1207.0</v>
      </c>
      <c r="E70" s="8" t="s">
        <v>1013</v>
      </c>
      <c r="F70" s="16" t="str">
        <f>HYPERLINK("https://youtu.be/msETNgFSWD0","watch")</f>
        <v>watch</v>
      </c>
      <c r="G70" s="17" t="s">
        <v>1534</v>
      </c>
      <c r="H70" s="10" t="s">
        <v>301</v>
      </c>
      <c r="I70" s="10">
        <v>3.0</v>
      </c>
      <c r="J70" s="10" t="s">
        <v>28</v>
      </c>
      <c r="K70" s="10" t="s">
        <v>1577</v>
      </c>
      <c r="L70" s="10" t="s">
        <v>42</v>
      </c>
      <c r="M70" s="10"/>
      <c r="N70" s="10"/>
      <c r="O70" s="10"/>
      <c r="P70" s="10"/>
      <c r="Q70" s="10"/>
      <c r="R70" s="10"/>
      <c r="S70" s="10"/>
      <c r="T70" s="10"/>
      <c r="U70" s="10"/>
    </row>
    <row r="71" ht="15.75" customHeight="1">
      <c r="A71" s="8" t="s">
        <v>1579</v>
      </c>
      <c r="B71" s="8" t="s">
        <v>1580</v>
      </c>
      <c r="C71" s="8" t="s">
        <v>1581</v>
      </c>
      <c r="D71" s="15">
        <v>874.0</v>
      </c>
      <c r="E71" s="8" t="s">
        <v>492</v>
      </c>
      <c r="F71" s="16" t="str">
        <f>HYPERLINK("https://youtu.be/Wwc1wVyI6CQ","watch")</f>
        <v>watch</v>
      </c>
      <c r="G71" s="17" t="s">
        <v>600</v>
      </c>
      <c r="H71" s="10" t="s">
        <v>301</v>
      </c>
      <c r="I71" s="10">
        <v>3.0</v>
      </c>
      <c r="J71" s="10" t="s">
        <v>48</v>
      </c>
      <c r="K71" s="10"/>
      <c r="L71" s="10" t="s">
        <v>42</v>
      </c>
      <c r="M71" s="10"/>
      <c r="N71" s="10"/>
      <c r="O71" s="10"/>
      <c r="P71" s="10"/>
      <c r="Q71" s="10"/>
      <c r="R71" s="10"/>
      <c r="S71" s="10"/>
      <c r="T71" s="10"/>
      <c r="U71" s="10"/>
    </row>
    <row r="72" ht="15.75" customHeight="1">
      <c r="A72" s="8" t="s">
        <v>1358</v>
      </c>
      <c r="B72" s="8" t="s">
        <v>1585</v>
      </c>
      <c r="C72" s="8" t="s">
        <v>1581</v>
      </c>
      <c r="D72" s="15">
        <v>849.0</v>
      </c>
      <c r="E72" s="8" t="s">
        <v>1586</v>
      </c>
      <c r="F72" s="16" t="str">
        <f>HYPERLINK("https://youtu.be/xNGxOuMpSiw","watch")</f>
        <v>watch</v>
      </c>
      <c r="G72" s="17" t="s">
        <v>1589</v>
      </c>
      <c r="H72" s="10" t="s">
        <v>1559</v>
      </c>
      <c r="I72" s="10">
        <v>1.0</v>
      </c>
      <c r="J72" s="10" t="s">
        <v>28</v>
      </c>
      <c r="K72" s="18" t="s">
        <v>1591</v>
      </c>
      <c r="L72" s="18" t="s">
        <v>1562</v>
      </c>
      <c r="M72" s="10"/>
      <c r="N72" s="10"/>
      <c r="O72" s="10"/>
      <c r="P72" s="10"/>
      <c r="Q72" s="10"/>
      <c r="R72" s="10"/>
      <c r="S72" s="10"/>
      <c r="T72" s="10"/>
      <c r="U72" s="10"/>
    </row>
    <row r="73" ht="15.75" customHeight="1">
      <c r="A73" s="8" t="s">
        <v>1593</v>
      </c>
      <c r="B73" s="8" t="s">
        <v>1594</v>
      </c>
      <c r="C73" s="8" t="s">
        <v>1595</v>
      </c>
      <c r="D73" s="15">
        <v>24.0</v>
      </c>
      <c r="E73" s="8" t="s">
        <v>757</v>
      </c>
      <c r="F73" s="16" t="str">
        <f>HYPERLINK("https://youtu.be/CbwSuTI8QKU","watch")</f>
        <v>watch</v>
      </c>
      <c r="G73" s="17" t="s">
        <v>1598</v>
      </c>
      <c r="H73" s="10" t="s">
        <v>301</v>
      </c>
      <c r="I73" s="10">
        <v>1.0</v>
      </c>
      <c r="J73" s="10" t="s">
        <v>48</v>
      </c>
      <c r="K73" s="10"/>
      <c r="L73" s="10" t="s">
        <v>42</v>
      </c>
      <c r="M73" s="10"/>
      <c r="N73" s="10"/>
      <c r="O73" s="10"/>
      <c r="P73" s="10"/>
      <c r="Q73" s="10"/>
      <c r="R73" s="10"/>
      <c r="S73" s="10"/>
      <c r="T73" s="10"/>
      <c r="U73" s="10"/>
    </row>
    <row r="74" ht="15.75" customHeight="1">
      <c r="A74" s="8" t="s">
        <v>1600</v>
      </c>
      <c r="B74" s="8" t="s">
        <v>1601</v>
      </c>
      <c r="C74" s="8" t="s">
        <v>1595</v>
      </c>
      <c r="D74" s="15">
        <v>291.0</v>
      </c>
      <c r="E74" s="8" t="s">
        <v>358</v>
      </c>
      <c r="F74" s="16" t="str">
        <f>HYPERLINK("https://youtu.be/Ec_2Is8DmI8","watch")</f>
        <v>watch</v>
      </c>
      <c r="G74" s="17" t="s">
        <v>1604</v>
      </c>
      <c r="H74" s="10" t="s">
        <v>25</v>
      </c>
      <c r="I74" s="10">
        <v>11.0</v>
      </c>
      <c r="J74" s="10" t="s">
        <v>48</v>
      </c>
      <c r="K74" s="10"/>
      <c r="L74" s="10" t="s">
        <v>42</v>
      </c>
      <c r="M74" s="10"/>
      <c r="N74" s="10"/>
      <c r="O74" s="10"/>
      <c r="P74" s="10"/>
      <c r="Q74" s="10"/>
      <c r="R74" s="10"/>
      <c r="S74" s="10"/>
      <c r="T74" s="10"/>
      <c r="U74" s="10"/>
    </row>
    <row r="75" ht="15.75" customHeight="1">
      <c r="A75" s="8" t="s">
        <v>1606</v>
      </c>
      <c r="B75" s="8" t="s">
        <v>1607</v>
      </c>
      <c r="C75" s="8" t="s">
        <v>1608</v>
      </c>
      <c r="D75" s="15">
        <v>29.0</v>
      </c>
      <c r="E75" s="8" t="s">
        <v>685</v>
      </c>
      <c r="F75" s="16" t="str">
        <f>HYPERLINK("https://youtu.be/gLlqJvSuAek","watch")</f>
        <v>watch</v>
      </c>
      <c r="G75" s="17" t="s">
        <v>1610</v>
      </c>
      <c r="H75" s="10" t="s">
        <v>25</v>
      </c>
      <c r="I75" s="10">
        <v>10.0</v>
      </c>
      <c r="J75" s="10" t="s">
        <v>48</v>
      </c>
      <c r="K75" s="10"/>
      <c r="L75" s="10" t="s">
        <v>64</v>
      </c>
      <c r="M75" s="10"/>
      <c r="N75" s="10"/>
      <c r="O75" s="10"/>
      <c r="P75" s="10"/>
      <c r="Q75" s="10"/>
      <c r="R75" s="10"/>
      <c r="S75" s="10"/>
      <c r="T75" s="10"/>
      <c r="U75" s="10"/>
    </row>
    <row r="76" ht="15.75" customHeight="1">
      <c r="A76" s="8" t="s">
        <v>1612</v>
      </c>
      <c r="B76" s="8" t="s">
        <v>1613</v>
      </c>
      <c r="C76" s="8" t="s">
        <v>1608</v>
      </c>
      <c r="D76" s="15">
        <v>24.0</v>
      </c>
      <c r="E76" s="8" t="s">
        <v>735</v>
      </c>
      <c r="F76" s="16" t="str">
        <f>HYPERLINK("https://youtu.be/I14rr28Qduw","watch")</f>
        <v>watch</v>
      </c>
      <c r="G76" s="17" t="s">
        <v>1616</v>
      </c>
      <c r="H76" s="10" t="s">
        <v>25</v>
      </c>
      <c r="I76" s="10">
        <v>10.0</v>
      </c>
      <c r="J76" s="10" t="s">
        <v>48</v>
      </c>
      <c r="K76" s="10"/>
      <c r="L76" s="10" t="s">
        <v>42</v>
      </c>
      <c r="M76" s="10"/>
      <c r="N76" s="10"/>
      <c r="O76" s="10"/>
      <c r="P76" s="10"/>
      <c r="Q76" s="10"/>
      <c r="R76" s="10"/>
      <c r="S76" s="10"/>
      <c r="T76" s="10"/>
      <c r="U76" s="10"/>
    </row>
    <row r="77" ht="15.75" customHeight="1">
      <c r="A77" s="8" t="s">
        <v>1619</v>
      </c>
      <c r="B77" s="8" t="s">
        <v>1620</v>
      </c>
      <c r="C77" s="8" t="s">
        <v>1621</v>
      </c>
      <c r="D77" s="15">
        <v>33.0</v>
      </c>
      <c r="E77" s="8" t="s">
        <v>535</v>
      </c>
      <c r="F77" s="16" t="str">
        <f>HYPERLINK("https://youtu.be/NdXTKzUodpQ","watch")</f>
        <v>watch</v>
      </c>
      <c r="G77" s="17" t="s">
        <v>1623</v>
      </c>
      <c r="H77" s="10" t="s">
        <v>25</v>
      </c>
      <c r="I77" s="10">
        <v>9.0</v>
      </c>
      <c r="J77" s="10" t="s">
        <v>48</v>
      </c>
      <c r="K77" s="10"/>
      <c r="L77" s="10" t="s">
        <v>64</v>
      </c>
      <c r="M77" s="10"/>
      <c r="N77" s="10"/>
      <c r="O77" s="10"/>
      <c r="P77" s="10"/>
      <c r="Q77" s="10"/>
      <c r="R77" s="10"/>
      <c r="S77" s="10"/>
      <c r="T77" s="10"/>
      <c r="U77" s="10"/>
    </row>
    <row r="78" ht="15.75" customHeight="1">
      <c r="A78" s="8" t="s">
        <v>1384</v>
      </c>
      <c r="B78" s="8" t="s">
        <v>1625</v>
      </c>
      <c r="C78" s="8" t="s">
        <v>1621</v>
      </c>
      <c r="D78" s="15">
        <v>40.0</v>
      </c>
      <c r="E78" s="8" t="s">
        <v>1013</v>
      </c>
      <c r="F78" s="16" t="str">
        <f>HYPERLINK("https://youtu.be/EifpW6bQhPE","watch")</f>
        <v>watch</v>
      </c>
      <c r="G78" s="17" t="s">
        <v>1627</v>
      </c>
      <c r="H78" s="10" t="s">
        <v>25</v>
      </c>
      <c r="I78" s="10">
        <v>9.0</v>
      </c>
      <c r="J78" s="10" t="s">
        <v>28</v>
      </c>
      <c r="K78" s="10" t="s">
        <v>1629</v>
      </c>
      <c r="L78" s="10" t="s">
        <v>42</v>
      </c>
      <c r="M78" s="10"/>
      <c r="N78" s="10"/>
      <c r="O78" s="10"/>
      <c r="P78" s="10"/>
      <c r="Q78" s="10"/>
      <c r="R78" s="10"/>
      <c r="S78" s="10"/>
      <c r="T78" s="10"/>
      <c r="U78" s="10"/>
    </row>
    <row r="79" ht="15.75" customHeight="1">
      <c r="A79" s="8" t="s">
        <v>1392</v>
      </c>
      <c r="B79" s="8" t="s">
        <v>1630</v>
      </c>
      <c r="C79" s="8" t="s">
        <v>1631</v>
      </c>
      <c r="D79" s="15">
        <v>823.0</v>
      </c>
      <c r="E79" s="8" t="s">
        <v>492</v>
      </c>
      <c r="F79" s="16" t="str">
        <f>HYPERLINK("https://youtu.be/6bMl7VF_ov0","watch")</f>
        <v>watch</v>
      </c>
      <c r="G79" s="17" t="s">
        <v>1633</v>
      </c>
      <c r="H79" s="10" t="s">
        <v>25</v>
      </c>
      <c r="I79" s="10">
        <v>8.0</v>
      </c>
      <c r="J79" s="10" t="s">
        <v>28</v>
      </c>
      <c r="K79" s="10" t="s">
        <v>1634</v>
      </c>
      <c r="L79" s="10" t="s">
        <v>64</v>
      </c>
      <c r="M79" s="10"/>
      <c r="N79" s="10"/>
      <c r="O79" s="10"/>
      <c r="P79" s="10"/>
      <c r="Q79" s="10"/>
      <c r="R79" s="10"/>
      <c r="S79" s="10"/>
      <c r="T79" s="10"/>
      <c r="U79" s="10"/>
    </row>
    <row r="80" ht="15.75" customHeight="1">
      <c r="A80" s="8" t="s">
        <v>1403</v>
      </c>
      <c r="B80" s="8" t="s">
        <v>1636</v>
      </c>
      <c r="C80" s="8" t="s">
        <v>1631</v>
      </c>
      <c r="D80" s="15">
        <v>15.0</v>
      </c>
      <c r="E80" s="8" t="s">
        <v>757</v>
      </c>
      <c r="F80" s="16" t="str">
        <f>HYPERLINK("https://youtu.be/HHjdWa5tfXY","watch")</f>
        <v>watch</v>
      </c>
      <c r="G80" s="17" t="s">
        <v>1639</v>
      </c>
      <c r="H80" s="10" t="s">
        <v>25</v>
      </c>
      <c r="I80" s="10">
        <v>8.0</v>
      </c>
      <c r="J80" s="10" t="s">
        <v>28</v>
      </c>
      <c r="K80" s="10" t="s">
        <v>1640</v>
      </c>
      <c r="L80" s="10" t="s">
        <v>42</v>
      </c>
      <c r="M80" s="10"/>
      <c r="N80" s="10"/>
      <c r="O80" s="10"/>
      <c r="P80" s="10"/>
      <c r="Q80" s="10"/>
      <c r="R80" s="10"/>
      <c r="S80" s="10"/>
      <c r="T80" s="10"/>
      <c r="U80" s="10"/>
    </row>
    <row r="81" ht="15.75" customHeight="1">
      <c r="A81" s="8" t="s">
        <v>1643</v>
      </c>
      <c r="B81" s="8" t="s">
        <v>1644</v>
      </c>
      <c r="C81" s="8" t="s">
        <v>1645</v>
      </c>
      <c r="D81" s="15">
        <v>90.0</v>
      </c>
      <c r="E81" s="8" t="s">
        <v>492</v>
      </c>
      <c r="F81" s="16" t="str">
        <f>HYPERLINK("https://youtu.be/JRMvkxmqFhQ","watch")</f>
        <v>watch</v>
      </c>
      <c r="G81" s="17" t="s">
        <v>1647</v>
      </c>
      <c r="H81" s="10" t="s">
        <v>25</v>
      </c>
      <c r="I81" s="10">
        <v>7.0</v>
      </c>
      <c r="J81" s="10" t="s">
        <v>48</v>
      </c>
      <c r="K81" s="10"/>
      <c r="L81" s="10" t="s">
        <v>64</v>
      </c>
      <c r="M81" s="10"/>
      <c r="N81" s="10"/>
      <c r="O81" s="10"/>
      <c r="P81" s="10"/>
      <c r="Q81" s="10"/>
      <c r="R81" s="10"/>
      <c r="S81" s="10"/>
      <c r="T81" s="10"/>
      <c r="U81" s="10"/>
    </row>
    <row r="82" ht="15.75" customHeight="1">
      <c r="A82" s="8" t="s">
        <v>1649</v>
      </c>
      <c r="B82" s="8" t="s">
        <v>1650</v>
      </c>
      <c r="C82" s="8" t="s">
        <v>1645</v>
      </c>
      <c r="D82" s="15">
        <v>350.0</v>
      </c>
      <c r="E82" s="8" t="s">
        <v>492</v>
      </c>
      <c r="F82" s="16" t="str">
        <f>HYPERLINK("https://youtu.be/a4iR-qPthjY","watch")</f>
        <v>watch</v>
      </c>
      <c r="G82" s="17" t="s">
        <v>1653</v>
      </c>
      <c r="H82" s="10" t="s">
        <v>25</v>
      </c>
      <c r="I82" s="10">
        <v>7.0</v>
      </c>
      <c r="J82" s="10" t="s">
        <v>48</v>
      </c>
      <c r="K82" s="10"/>
      <c r="L82" s="10" t="s">
        <v>42</v>
      </c>
      <c r="M82" s="10"/>
      <c r="N82" s="10"/>
      <c r="O82" s="10"/>
      <c r="P82" s="10"/>
      <c r="Q82" s="10"/>
      <c r="R82" s="10"/>
      <c r="S82" s="10"/>
      <c r="T82" s="10"/>
      <c r="U82" s="10"/>
    </row>
    <row r="83" ht="15.75" customHeight="1">
      <c r="A83" s="8" t="s">
        <v>1655</v>
      </c>
      <c r="B83" s="8" t="s">
        <v>1656</v>
      </c>
      <c r="C83" s="8" t="s">
        <v>1657</v>
      </c>
      <c r="D83" s="15">
        <v>40.0</v>
      </c>
      <c r="E83" s="8" t="s">
        <v>492</v>
      </c>
      <c r="F83" s="16" t="str">
        <f>HYPERLINK("https://youtu.be/cz75wI3fz7k","watch")</f>
        <v>watch</v>
      </c>
      <c r="G83" s="17" t="s">
        <v>42</v>
      </c>
      <c r="H83" s="10" t="s">
        <v>301</v>
      </c>
      <c r="I83" s="10">
        <v>9.0</v>
      </c>
      <c r="J83" s="10" t="s">
        <v>48</v>
      </c>
      <c r="K83" s="10"/>
      <c r="L83" s="10" t="s">
        <v>42</v>
      </c>
      <c r="M83" s="10"/>
      <c r="N83" s="10"/>
      <c r="O83" s="10"/>
      <c r="P83" s="10"/>
      <c r="Q83" s="10"/>
      <c r="R83" s="10"/>
      <c r="S83" s="10"/>
      <c r="T83" s="10"/>
      <c r="U83" s="10"/>
    </row>
    <row r="84" ht="15.75" customHeight="1">
      <c r="A84" s="8" t="s">
        <v>1663</v>
      </c>
      <c r="B84" s="8" t="s">
        <v>1664</v>
      </c>
      <c r="C84" s="8" t="s">
        <v>1657</v>
      </c>
      <c r="D84" s="15">
        <v>15.0</v>
      </c>
      <c r="E84" s="8" t="s">
        <v>228</v>
      </c>
      <c r="F84" s="16" t="str">
        <f>HYPERLINK("https://youtu.be/czBVJAWDB8U","watch")</f>
        <v>watch</v>
      </c>
      <c r="G84" s="17" t="s">
        <v>81</v>
      </c>
      <c r="H84" s="10" t="s">
        <v>200</v>
      </c>
      <c r="I84" s="10">
        <v>4.0</v>
      </c>
      <c r="J84" s="10" t="s">
        <v>48</v>
      </c>
      <c r="K84" s="10"/>
      <c r="L84" s="10" t="s">
        <v>81</v>
      </c>
      <c r="M84" s="10"/>
      <c r="N84" s="10"/>
      <c r="O84" s="10"/>
      <c r="P84" s="10"/>
      <c r="Q84" s="10"/>
      <c r="R84" s="10"/>
      <c r="S84" s="10"/>
      <c r="T84" s="10"/>
      <c r="U84" s="10"/>
    </row>
    <row r="85" ht="15.75" customHeight="1">
      <c r="A85" s="8" t="s">
        <v>1412</v>
      </c>
      <c r="B85" s="8" t="s">
        <v>1668</v>
      </c>
      <c r="C85" s="8" t="s">
        <v>1669</v>
      </c>
      <c r="D85" s="15">
        <v>62.0</v>
      </c>
      <c r="E85" s="8" t="s">
        <v>735</v>
      </c>
      <c r="F85" s="16" t="str">
        <f>HYPERLINK("https://youtu.be/w3dQBhumsug","watch")</f>
        <v>watch</v>
      </c>
      <c r="G85" s="17" t="s">
        <v>1671</v>
      </c>
      <c r="H85" s="10" t="s">
        <v>200</v>
      </c>
      <c r="I85" s="10">
        <v>3.0</v>
      </c>
      <c r="J85" s="10" t="s">
        <v>28</v>
      </c>
      <c r="K85" s="10" t="s">
        <v>1673</v>
      </c>
      <c r="L85" s="10" t="s">
        <v>81</v>
      </c>
      <c r="M85" s="10"/>
      <c r="N85" s="10"/>
      <c r="O85" s="10"/>
      <c r="P85" s="10"/>
      <c r="Q85" s="10"/>
      <c r="R85" s="10"/>
      <c r="S85" s="10"/>
      <c r="T85" s="10"/>
      <c r="U85" s="10"/>
    </row>
    <row r="86" ht="15.75" customHeight="1">
      <c r="A86" s="8" t="s">
        <v>1675</v>
      </c>
      <c r="B86" s="8" t="s">
        <v>1676</v>
      </c>
      <c r="C86" s="8" t="s">
        <v>1669</v>
      </c>
      <c r="D86" s="15">
        <v>856.0</v>
      </c>
      <c r="E86" s="8" t="s">
        <v>492</v>
      </c>
      <c r="F86" s="16" t="str">
        <f>HYPERLINK("https://youtu.be/7nGg08wavGM","watch")</f>
        <v>watch</v>
      </c>
      <c r="G86" s="17" t="s">
        <v>81</v>
      </c>
      <c r="H86" s="10" t="s">
        <v>200</v>
      </c>
      <c r="I86" s="10">
        <v>4.0</v>
      </c>
      <c r="J86" s="10" t="s">
        <v>48</v>
      </c>
      <c r="K86" s="10"/>
      <c r="L86" s="10" t="s">
        <v>81</v>
      </c>
      <c r="M86" s="10"/>
      <c r="N86" s="10"/>
      <c r="O86" s="10"/>
      <c r="P86" s="10"/>
      <c r="Q86" s="10"/>
      <c r="R86" s="10"/>
      <c r="S86" s="10"/>
      <c r="T86" s="10"/>
      <c r="U86" s="10"/>
    </row>
    <row r="87" ht="15.75" customHeight="1">
      <c r="A87" s="8" t="s">
        <v>1680</v>
      </c>
      <c r="B87" s="8" t="s">
        <v>1681</v>
      </c>
      <c r="C87" s="8" t="s">
        <v>1682</v>
      </c>
      <c r="D87" s="15">
        <v>254.0</v>
      </c>
      <c r="E87" s="8" t="s">
        <v>492</v>
      </c>
      <c r="F87" s="16" t="str">
        <f>HYPERLINK("https://youtu.be/na2bRZxxTHU","watch")</f>
        <v>watch</v>
      </c>
      <c r="G87" s="17" t="s">
        <v>1671</v>
      </c>
      <c r="H87" s="10" t="s">
        <v>200</v>
      </c>
      <c r="I87" s="10">
        <v>3.0</v>
      </c>
      <c r="J87" s="10" t="s">
        <v>48</v>
      </c>
      <c r="K87" s="10"/>
      <c r="L87" s="10" t="s">
        <v>81</v>
      </c>
      <c r="M87" s="10"/>
      <c r="N87" s="10"/>
      <c r="O87" s="10"/>
      <c r="P87" s="10"/>
      <c r="Q87" s="10"/>
      <c r="R87" s="10"/>
      <c r="S87" s="10"/>
      <c r="T87" s="10"/>
      <c r="U87" s="10"/>
    </row>
    <row r="88" ht="15.75" customHeight="1">
      <c r="A88" s="8" t="s">
        <v>1416</v>
      </c>
      <c r="B88" s="8" t="s">
        <v>1685</v>
      </c>
      <c r="C88" s="8" t="s">
        <v>1682</v>
      </c>
      <c r="D88" s="15">
        <v>19.0</v>
      </c>
      <c r="E88" s="8" t="s">
        <v>492</v>
      </c>
      <c r="F88" s="16" t="str">
        <f>HYPERLINK("https://youtu.be/Mhz1-_ppwJA","watch")</f>
        <v>watch</v>
      </c>
      <c r="G88" s="17" t="s">
        <v>1689</v>
      </c>
      <c r="H88" s="10" t="s">
        <v>301</v>
      </c>
      <c r="I88" s="10">
        <v>8.0</v>
      </c>
      <c r="J88" s="10" t="s">
        <v>28</v>
      </c>
      <c r="K88" s="10" t="s">
        <v>1691</v>
      </c>
      <c r="L88" s="10" t="s">
        <v>42</v>
      </c>
      <c r="M88" s="10"/>
      <c r="N88" s="10"/>
      <c r="O88" s="10"/>
      <c r="P88" s="10"/>
      <c r="Q88" s="10"/>
      <c r="R88" s="10"/>
      <c r="S88" s="10"/>
      <c r="T88" s="10"/>
      <c r="U88" s="10"/>
    </row>
    <row r="89" ht="15.75" customHeight="1">
      <c r="A89" s="8" t="s">
        <v>1693</v>
      </c>
      <c r="B89" s="8" t="s">
        <v>1694</v>
      </c>
      <c r="C89" s="8" t="s">
        <v>1695</v>
      </c>
      <c r="D89" s="15">
        <v>33.0</v>
      </c>
      <c r="E89" s="8" t="s">
        <v>685</v>
      </c>
      <c r="F89" s="16" t="str">
        <f>HYPERLINK("https://youtu.be/dqC9lAiWeaE","watch")</f>
        <v>watch</v>
      </c>
      <c r="G89" s="17" t="s">
        <v>1506</v>
      </c>
      <c r="H89" s="10" t="s">
        <v>301</v>
      </c>
      <c r="I89" s="10">
        <v>7.0</v>
      </c>
      <c r="J89" s="10" t="s">
        <v>48</v>
      </c>
      <c r="K89" s="10"/>
      <c r="L89" s="10" t="s">
        <v>42</v>
      </c>
      <c r="M89" s="10"/>
      <c r="N89" s="10"/>
      <c r="O89" s="10"/>
      <c r="P89" s="10"/>
      <c r="Q89" s="10"/>
      <c r="R89" s="10"/>
      <c r="S89" s="10"/>
      <c r="T89" s="10"/>
      <c r="U89" s="10"/>
    </row>
    <row r="90" ht="15.75" customHeight="1">
      <c r="A90" s="8" t="s">
        <v>1420</v>
      </c>
      <c r="B90" s="8" t="s">
        <v>1698</v>
      </c>
      <c r="C90" s="8" t="s">
        <v>1695</v>
      </c>
      <c r="D90" s="15">
        <v>152.0</v>
      </c>
      <c r="E90" s="8" t="s">
        <v>757</v>
      </c>
      <c r="F90" s="16" t="str">
        <f>HYPERLINK("https://youtu.be/n4iGQVPBtfE","watch")</f>
        <v>watch</v>
      </c>
      <c r="G90" s="17" t="s">
        <v>1701</v>
      </c>
      <c r="H90" s="10" t="s">
        <v>200</v>
      </c>
      <c r="I90" s="10">
        <v>2.0</v>
      </c>
      <c r="J90" s="10" t="s">
        <v>28</v>
      </c>
      <c r="K90" s="10" t="s">
        <v>1673</v>
      </c>
      <c r="L90" s="10" t="s">
        <v>81</v>
      </c>
      <c r="M90" s="10"/>
      <c r="N90" s="10"/>
      <c r="O90" s="10"/>
      <c r="P90" s="10"/>
      <c r="Q90" s="10"/>
      <c r="R90" s="10"/>
      <c r="S90" s="10"/>
      <c r="T90" s="10"/>
      <c r="U90" s="10"/>
    </row>
    <row r="91" ht="15.75" customHeight="1">
      <c r="A91" s="8" t="s">
        <v>1704</v>
      </c>
      <c r="B91" s="8" t="s">
        <v>1705</v>
      </c>
      <c r="C91" s="8" t="s">
        <v>1706</v>
      </c>
      <c r="D91" s="15">
        <v>592.0</v>
      </c>
      <c r="E91" s="8" t="s">
        <v>492</v>
      </c>
      <c r="F91" s="16" t="str">
        <f>HYPERLINK("https://youtu.be/r4WG2IWWyKc","watch")</f>
        <v>watch</v>
      </c>
      <c r="G91" s="17" t="s">
        <v>1709</v>
      </c>
      <c r="H91" s="10" t="s">
        <v>200</v>
      </c>
      <c r="I91" s="10">
        <v>1.0</v>
      </c>
      <c r="J91" s="10" t="s">
        <v>48</v>
      </c>
      <c r="K91" s="10"/>
      <c r="L91" s="10" t="s">
        <v>81</v>
      </c>
      <c r="M91" s="10"/>
      <c r="N91" s="10"/>
      <c r="O91" s="10"/>
      <c r="P91" s="10"/>
      <c r="Q91" s="10"/>
      <c r="R91" s="10"/>
      <c r="S91" s="10"/>
      <c r="T91" s="10"/>
      <c r="U91" s="10"/>
    </row>
    <row r="92" ht="15.75" customHeight="1">
      <c r="A92" s="8" t="s">
        <v>1711</v>
      </c>
      <c r="B92" s="8" t="s">
        <v>1712</v>
      </c>
      <c r="C92" s="8" t="s">
        <v>1706</v>
      </c>
      <c r="D92" s="15">
        <v>31.0</v>
      </c>
      <c r="E92" s="8" t="s">
        <v>735</v>
      </c>
      <c r="F92" s="16" t="str">
        <f>HYPERLINK("https://youtu.be/zhE5GzB2Dns","watch")</f>
        <v>watch</v>
      </c>
      <c r="G92" s="17" t="s">
        <v>1701</v>
      </c>
      <c r="H92" s="10" t="s">
        <v>200</v>
      </c>
      <c r="I92" s="10">
        <v>2.0</v>
      </c>
      <c r="J92" s="10" t="s">
        <v>48</v>
      </c>
      <c r="K92" s="10"/>
      <c r="L92" s="10" t="s">
        <v>81</v>
      </c>
      <c r="M92" s="10"/>
      <c r="N92" s="10"/>
      <c r="O92" s="10"/>
      <c r="P92" s="10"/>
      <c r="Q92" s="10"/>
      <c r="R92" s="10"/>
      <c r="S92" s="10"/>
      <c r="T92" s="10"/>
      <c r="U92" s="10"/>
    </row>
    <row r="93" ht="15.75" customHeight="1">
      <c r="A93" s="8" t="s">
        <v>1423</v>
      </c>
      <c r="B93" s="8" t="s">
        <v>1714</v>
      </c>
      <c r="C93" s="8" t="s">
        <v>1715</v>
      </c>
      <c r="D93" s="15">
        <v>1484.0</v>
      </c>
      <c r="E93" s="8" t="s">
        <v>492</v>
      </c>
      <c r="F93" s="16" t="str">
        <f>HYPERLINK("https://youtu.be/qKiLbaLhdp8","watch")</f>
        <v>watch</v>
      </c>
      <c r="G93" s="17" t="s">
        <v>1709</v>
      </c>
      <c r="H93" s="10" t="s">
        <v>200</v>
      </c>
      <c r="I93" s="10">
        <v>1.0</v>
      </c>
      <c r="J93" s="10" t="s">
        <v>28</v>
      </c>
      <c r="K93" s="10" t="s">
        <v>1719</v>
      </c>
      <c r="L93" s="10" t="s">
        <v>81</v>
      </c>
      <c r="M93" s="10"/>
      <c r="N93" s="10"/>
      <c r="O93" s="10"/>
      <c r="P93" s="10"/>
      <c r="Q93" s="10"/>
      <c r="R93" s="10"/>
      <c r="S93" s="10"/>
      <c r="T93" s="10"/>
      <c r="U93" s="10"/>
    </row>
    <row r="94" ht="15.75" customHeight="1">
      <c r="A94" s="8" t="s">
        <v>1432</v>
      </c>
      <c r="B94" s="8" t="s">
        <v>1720</v>
      </c>
      <c r="C94" s="8" t="s">
        <v>1715</v>
      </c>
      <c r="D94" s="15">
        <v>47.0</v>
      </c>
      <c r="E94" s="8" t="s">
        <v>735</v>
      </c>
      <c r="F94" s="16" t="str">
        <f>HYPERLINK("https://youtu.be/QKYrh9l8BYA","watch")</f>
        <v>watch</v>
      </c>
      <c r="G94" s="17" t="s">
        <v>1725</v>
      </c>
      <c r="H94" s="10" t="s">
        <v>301</v>
      </c>
      <c r="I94" s="10">
        <v>6.0</v>
      </c>
      <c r="J94" s="10" t="s">
        <v>28</v>
      </c>
      <c r="K94" s="10" t="s">
        <v>1727</v>
      </c>
      <c r="L94" s="10" t="s">
        <v>42</v>
      </c>
      <c r="M94" s="10"/>
      <c r="N94" s="10"/>
      <c r="O94" s="10"/>
      <c r="P94" s="10"/>
      <c r="Q94" s="10"/>
      <c r="R94" s="10"/>
      <c r="S94" s="10"/>
      <c r="T94" s="10"/>
      <c r="U94" s="10"/>
    </row>
    <row r="95" ht="15.75" customHeight="1">
      <c r="A95" s="8" t="s">
        <v>1728</v>
      </c>
      <c r="B95" s="8" t="s">
        <v>1729</v>
      </c>
      <c r="C95" s="8" t="s">
        <v>1730</v>
      </c>
      <c r="D95" s="15">
        <v>87.0</v>
      </c>
      <c r="E95" s="8" t="s">
        <v>358</v>
      </c>
      <c r="F95" s="16" t="str">
        <f>HYPERLINK("https://youtu.be/_Bu9zCfLI4c","watch")</f>
        <v>watch</v>
      </c>
      <c r="G95" s="17" t="s">
        <v>81</v>
      </c>
      <c r="H95" s="10" t="s">
        <v>200</v>
      </c>
      <c r="I95" s="10">
        <v>4.0</v>
      </c>
      <c r="J95" s="10" t="s">
        <v>48</v>
      </c>
      <c r="K95" s="10"/>
      <c r="L95" s="10" t="s">
        <v>81</v>
      </c>
      <c r="M95" s="10"/>
      <c r="N95" s="10"/>
      <c r="O95" s="10"/>
      <c r="P95" s="10"/>
      <c r="Q95" s="10"/>
      <c r="R95" s="10"/>
      <c r="S95" s="10"/>
      <c r="T95" s="10"/>
      <c r="U95" s="10"/>
    </row>
    <row r="96" ht="15.75" customHeight="1">
      <c r="A96" s="8" t="s">
        <v>1734</v>
      </c>
      <c r="B96" s="8" t="s">
        <v>1735</v>
      </c>
      <c r="C96" s="8" t="s">
        <v>1730</v>
      </c>
      <c r="D96" s="15">
        <v>71.0</v>
      </c>
      <c r="E96" s="8" t="s">
        <v>492</v>
      </c>
      <c r="F96" s="16" t="str">
        <f>HYPERLINK("https://youtu.be/vqp2qrq1hls","watch")</f>
        <v>watch</v>
      </c>
      <c r="G96" s="17" t="s">
        <v>1737</v>
      </c>
      <c r="H96" s="10" t="s">
        <v>301</v>
      </c>
      <c r="I96" s="10">
        <v>5.0</v>
      </c>
      <c r="J96" s="10" t="s">
        <v>48</v>
      </c>
      <c r="K96" s="10"/>
      <c r="L96" s="10" t="s">
        <v>42</v>
      </c>
      <c r="M96" s="10"/>
      <c r="N96" s="10"/>
      <c r="O96" s="10"/>
      <c r="P96" s="10"/>
      <c r="Q96" s="10"/>
      <c r="R96" s="10"/>
      <c r="S96" s="10"/>
      <c r="T96" s="10"/>
      <c r="U96" s="10"/>
    </row>
    <row r="97" ht="15.75" customHeight="1">
      <c r="A97" s="8" t="s">
        <v>1436</v>
      </c>
      <c r="B97" s="8" t="s">
        <v>1739</v>
      </c>
      <c r="C97" s="8" t="s">
        <v>1740</v>
      </c>
      <c r="D97" s="15">
        <v>88.0</v>
      </c>
      <c r="E97" s="8" t="s">
        <v>735</v>
      </c>
      <c r="F97" s="16" t="str">
        <f>HYPERLINK("https://youtu.be/hOBpKIl2lX4","watch")</f>
        <v>watch</v>
      </c>
      <c r="G97" s="17" t="s">
        <v>1671</v>
      </c>
      <c r="H97" s="10" t="s">
        <v>200</v>
      </c>
      <c r="I97" s="10">
        <v>3.0</v>
      </c>
      <c r="J97" s="10" t="s">
        <v>28</v>
      </c>
      <c r="K97" s="10" t="s">
        <v>1742</v>
      </c>
      <c r="L97" s="10" t="s">
        <v>81</v>
      </c>
      <c r="M97" s="10"/>
      <c r="N97" s="10"/>
      <c r="O97" s="10"/>
      <c r="P97" s="10"/>
      <c r="Q97" s="10"/>
      <c r="R97" s="10"/>
      <c r="S97" s="10"/>
      <c r="T97" s="10"/>
      <c r="U97" s="10"/>
    </row>
    <row r="98" ht="15.75" customHeight="1">
      <c r="A98" s="8" t="s">
        <v>1437</v>
      </c>
      <c r="B98" s="8" t="s">
        <v>1743</v>
      </c>
      <c r="C98" s="8" t="s">
        <v>1740</v>
      </c>
      <c r="D98" s="15">
        <v>36.0</v>
      </c>
      <c r="E98" s="8" t="s">
        <v>735</v>
      </c>
      <c r="F98" s="16" t="str">
        <f>HYPERLINK("https://youtu.be/4gBo585VhEI","watch")</f>
        <v>watch</v>
      </c>
      <c r="G98" s="17" t="s">
        <v>1745</v>
      </c>
      <c r="H98" s="10" t="s">
        <v>301</v>
      </c>
      <c r="I98" s="10">
        <v>4.0</v>
      </c>
      <c r="J98" s="10" t="s">
        <v>28</v>
      </c>
      <c r="K98" s="10" t="s">
        <v>1746</v>
      </c>
      <c r="L98" s="10" t="s">
        <v>42</v>
      </c>
      <c r="M98" s="10"/>
      <c r="N98" s="10"/>
      <c r="O98" s="10"/>
      <c r="P98" s="10"/>
      <c r="Q98" s="10"/>
      <c r="R98" s="10"/>
      <c r="S98" s="10"/>
      <c r="T98" s="10"/>
      <c r="U98" s="10"/>
    </row>
    <row r="99" ht="15.75" customHeight="1">
      <c r="A99" s="8" t="s">
        <v>1748</v>
      </c>
      <c r="B99" s="8" t="s">
        <v>1749</v>
      </c>
      <c r="C99" s="8" t="s">
        <v>1750</v>
      </c>
      <c r="D99" s="15">
        <v>947.0</v>
      </c>
      <c r="E99" s="8" t="s">
        <v>535</v>
      </c>
      <c r="F99" s="16" t="str">
        <f>HYPERLINK("https://youtu.be/9DPytuABTf8","watch")</f>
        <v>watch</v>
      </c>
      <c r="G99" s="17" t="s">
        <v>1701</v>
      </c>
      <c r="H99" s="10" t="s">
        <v>200</v>
      </c>
      <c r="I99" s="10">
        <v>2.0</v>
      </c>
      <c r="J99" s="10" t="s">
        <v>48</v>
      </c>
      <c r="K99" s="10"/>
      <c r="L99" s="10" t="s">
        <v>81</v>
      </c>
      <c r="M99" s="10"/>
      <c r="N99" s="10"/>
      <c r="O99" s="10"/>
      <c r="P99" s="10"/>
      <c r="Q99" s="10"/>
      <c r="R99" s="10"/>
      <c r="S99" s="10"/>
      <c r="T99" s="10"/>
      <c r="U99" s="10"/>
    </row>
    <row r="100" ht="15.75" customHeight="1">
      <c r="A100" s="8" t="s">
        <v>1752</v>
      </c>
      <c r="B100" s="8" t="s">
        <v>1753</v>
      </c>
      <c r="C100" s="8" t="s">
        <v>1750</v>
      </c>
      <c r="D100" s="15">
        <v>904.0</v>
      </c>
      <c r="E100" s="8" t="s">
        <v>492</v>
      </c>
      <c r="F100" s="16" t="str">
        <f>HYPERLINK("https://youtu.be/goGNPoBWQ-g","watch")</f>
        <v>watch</v>
      </c>
      <c r="G100" s="17" t="s">
        <v>1356</v>
      </c>
      <c r="H100" s="10" t="s">
        <v>301</v>
      </c>
      <c r="I100" s="10">
        <v>3.0</v>
      </c>
      <c r="J100" s="10" t="s">
        <v>48</v>
      </c>
      <c r="K100" s="10"/>
      <c r="L100" s="10" t="s">
        <v>42</v>
      </c>
      <c r="M100" s="10"/>
      <c r="N100" s="10"/>
      <c r="O100" s="10"/>
      <c r="P100" s="10"/>
      <c r="Q100" s="10"/>
      <c r="R100" s="10"/>
      <c r="S100" s="10"/>
      <c r="T100" s="10"/>
      <c r="U100" s="10"/>
    </row>
    <row r="101" ht="15.75" customHeight="1">
      <c r="A101" s="8" t="s">
        <v>1756</v>
      </c>
      <c r="B101" s="8" t="s">
        <v>1757</v>
      </c>
      <c r="C101" s="8" t="s">
        <v>1758</v>
      </c>
      <c r="D101" s="15">
        <v>811.0</v>
      </c>
      <c r="E101" s="8" t="s">
        <v>535</v>
      </c>
      <c r="F101" s="16" t="str">
        <f>HYPERLINK("https://youtu.be/Fgj5afnnXVk","watch")</f>
        <v>watch</v>
      </c>
      <c r="G101" s="17" t="s">
        <v>1709</v>
      </c>
      <c r="H101" s="10" t="s">
        <v>200</v>
      </c>
      <c r="I101" s="10">
        <v>1.0</v>
      </c>
      <c r="J101" s="10" t="s">
        <v>48</v>
      </c>
      <c r="K101" s="10"/>
      <c r="L101" s="10" t="s">
        <v>81</v>
      </c>
      <c r="M101" s="10"/>
      <c r="N101" s="10"/>
      <c r="O101" s="10"/>
      <c r="P101" s="10"/>
      <c r="Q101" s="10"/>
      <c r="R101" s="10"/>
      <c r="S101" s="10"/>
      <c r="T101" s="10"/>
      <c r="U101" s="10"/>
    </row>
    <row r="102" ht="15.75" customHeight="1">
      <c r="A102" s="8" t="s">
        <v>1761</v>
      </c>
      <c r="B102" s="8" t="s">
        <v>1762</v>
      </c>
      <c r="C102" s="8" t="s">
        <v>1758</v>
      </c>
      <c r="D102" s="15">
        <v>1007.0</v>
      </c>
      <c r="E102" s="8" t="s">
        <v>535</v>
      </c>
      <c r="F102" s="16" t="str">
        <f>HYPERLINK("https://youtu.be/u7xNNfIBEjg","watch")</f>
        <v>watch</v>
      </c>
      <c r="G102" s="17" t="s">
        <v>1763</v>
      </c>
      <c r="H102" s="10" t="s">
        <v>301</v>
      </c>
      <c r="I102" s="10">
        <v>2.0</v>
      </c>
      <c r="J102" s="10" t="s">
        <v>48</v>
      </c>
      <c r="K102" s="10"/>
      <c r="L102" s="10" t="s">
        <v>42</v>
      </c>
      <c r="M102" s="10"/>
      <c r="N102" s="10"/>
      <c r="O102" s="10"/>
      <c r="P102" s="10"/>
      <c r="Q102" s="10"/>
      <c r="R102" s="10"/>
      <c r="S102" s="10"/>
      <c r="T102" s="10"/>
      <c r="U102" s="10"/>
    </row>
    <row r="103" ht="15.75" customHeight="1">
      <c r="A103" s="8" t="s">
        <v>1441</v>
      </c>
      <c r="B103" s="8" t="s">
        <v>1766</v>
      </c>
      <c r="C103" s="8" t="s">
        <v>1767</v>
      </c>
      <c r="D103" s="15">
        <v>1007.0</v>
      </c>
      <c r="E103" s="8" t="s">
        <v>492</v>
      </c>
      <c r="F103" s="16" t="str">
        <f>HYPERLINK("https://youtu.be/bpm7cSVXNiM","watch")</f>
        <v>watch</v>
      </c>
      <c r="G103" s="17" t="s">
        <v>1769</v>
      </c>
      <c r="H103" s="10" t="s">
        <v>301</v>
      </c>
      <c r="I103" s="10">
        <v>1.0</v>
      </c>
      <c r="J103" s="10" t="s">
        <v>28</v>
      </c>
      <c r="K103" s="10" t="s">
        <v>1371</v>
      </c>
      <c r="L103" s="10" t="s">
        <v>42</v>
      </c>
      <c r="M103" s="10"/>
      <c r="N103" s="10"/>
      <c r="O103" s="10"/>
      <c r="P103" s="10"/>
      <c r="Q103" s="10"/>
      <c r="R103" s="10"/>
      <c r="S103" s="10"/>
      <c r="T103" s="10"/>
      <c r="U103" s="10"/>
    </row>
    <row r="104" ht="15.75" customHeight="1">
      <c r="A104" s="8" t="s">
        <v>1770</v>
      </c>
      <c r="B104" s="8" t="s">
        <v>1772</v>
      </c>
      <c r="C104" s="8" t="s">
        <v>1767</v>
      </c>
      <c r="D104" s="15">
        <v>991.0</v>
      </c>
      <c r="E104" s="8" t="s">
        <v>735</v>
      </c>
      <c r="F104" s="16" t="str">
        <f>HYPERLINK("https://youtu.be/urvau7lIwC0","watch")</f>
        <v>watch</v>
      </c>
      <c r="G104" s="17" t="s">
        <v>996</v>
      </c>
      <c r="H104" s="10" t="s">
        <v>810</v>
      </c>
      <c r="I104" s="10">
        <v>8.0</v>
      </c>
      <c r="J104" s="10" t="s">
        <v>48</v>
      </c>
      <c r="K104" s="10"/>
      <c r="L104" s="10" t="s">
        <v>98</v>
      </c>
      <c r="M104" s="10"/>
      <c r="N104" s="10"/>
      <c r="O104" s="10"/>
      <c r="P104" s="10"/>
      <c r="Q104" s="10"/>
      <c r="R104" s="10"/>
      <c r="S104" s="10"/>
      <c r="T104" s="10"/>
      <c r="U104" s="10"/>
    </row>
    <row r="105" ht="15.75" customHeight="1">
      <c r="A105" s="8" t="s">
        <v>1776</v>
      </c>
      <c r="B105" s="8" t="s">
        <v>1777</v>
      </c>
      <c r="C105" s="8" t="s">
        <v>1778</v>
      </c>
      <c r="D105" s="15">
        <v>986.0</v>
      </c>
      <c r="E105" s="8" t="s">
        <v>1013</v>
      </c>
      <c r="F105" s="16" t="str">
        <f>HYPERLINK("https://youtu.be/tuX1t8p29Ik","watch")</f>
        <v>watch</v>
      </c>
      <c r="G105" s="17" t="s">
        <v>1779</v>
      </c>
      <c r="H105" s="10" t="s">
        <v>1780</v>
      </c>
      <c r="I105" s="10"/>
      <c r="J105" s="10" t="s">
        <v>48</v>
      </c>
      <c r="K105" s="10"/>
      <c r="L105" s="18" t="s">
        <v>1782</v>
      </c>
      <c r="M105" s="10"/>
      <c r="N105" s="10"/>
      <c r="O105" s="10"/>
      <c r="P105" s="10"/>
      <c r="Q105" s="10"/>
      <c r="R105" s="10"/>
      <c r="S105" s="10"/>
      <c r="T105" s="10"/>
      <c r="U105" s="10"/>
    </row>
    <row r="106" ht="15.75" customHeight="1">
      <c r="A106" s="8" t="s">
        <v>1783</v>
      </c>
      <c r="B106" s="8" t="s">
        <v>1784</v>
      </c>
      <c r="C106" s="8" t="s">
        <v>1778</v>
      </c>
      <c r="D106" s="15">
        <v>936.0</v>
      </c>
      <c r="E106" s="8" t="s">
        <v>358</v>
      </c>
      <c r="F106" s="16" t="str">
        <f>HYPERLINK("https://youtu.be/HGlF3-fpycc","watch")</f>
        <v>watch</v>
      </c>
      <c r="G106" s="17" t="s">
        <v>1786</v>
      </c>
      <c r="H106" s="18" t="s">
        <v>810</v>
      </c>
      <c r="I106" s="18">
        <v>7.0</v>
      </c>
      <c r="J106" s="18" t="s">
        <v>1787</v>
      </c>
      <c r="K106" s="10"/>
      <c r="L106" s="18" t="s">
        <v>98</v>
      </c>
      <c r="M106" s="10"/>
      <c r="N106" s="10"/>
      <c r="O106" s="10"/>
      <c r="P106" s="10"/>
      <c r="Q106" s="10"/>
      <c r="R106" s="10"/>
      <c r="S106" s="10"/>
      <c r="T106" s="10"/>
      <c r="U106" s="10"/>
    </row>
    <row r="107" ht="15.75" customHeight="1">
      <c r="A107" s="8" t="s">
        <v>1788</v>
      </c>
      <c r="B107" s="8" t="s">
        <v>1789</v>
      </c>
      <c r="C107" s="8" t="s">
        <v>1790</v>
      </c>
      <c r="D107" s="15">
        <v>886.0</v>
      </c>
      <c r="E107" s="8" t="s">
        <v>1791</v>
      </c>
      <c r="F107" s="16" t="str">
        <f>HYPERLINK("https://youtu.be/R4TUGTf0Eb4","watch")</f>
        <v>watch</v>
      </c>
      <c r="G107" s="17" t="s">
        <v>1793</v>
      </c>
      <c r="H107" s="18" t="s">
        <v>43</v>
      </c>
      <c r="I107" s="18">
        <v>6.0</v>
      </c>
      <c r="J107" s="18" t="s">
        <v>48</v>
      </c>
      <c r="K107" s="10"/>
      <c r="L107" s="18" t="s">
        <v>42</v>
      </c>
      <c r="M107" s="10"/>
      <c r="N107" s="10"/>
      <c r="O107" s="10"/>
      <c r="P107" s="10"/>
      <c r="Q107" s="10"/>
      <c r="R107" s="10"/>
      <c r="S107" s="10"/>
      <c r="T107" s="10"/>
      <c r="U107" s="10"/>
    </row>
    <row r="108" ht="15.75" customHeight="1">
      <c r="A108" s="8" t="s">
        <v>1794</v>
      </c>
      <c r="B108" s="8" t="s">
        <v>1795</v>
      </c>
      <c r="C108" s="8" t="s">
        <v>1790</v>
      </c>
      <c r="D108" s="15">
        <v>1111.0</v>
      </c>
      <c r="E108" s="8" t="s">
        <v>735</v>
      </c>
      <c r="F108" s="16" t="str">
        <f>HYPERLINK("https://youtu.be/sS0fvyss7IM","watch")</f>
        <v>watch</v>
      </c>
      <c r="G108" s="17" t="s">
        <v>1798</v>
      </c>
      <c r="H108" s="18" t="s">
        <v>810</v>
      </c>
      <c r="I108" s="18">
        <v>6.0</v>
      </c>
      <c r="J108" s="18" t="s">
        <v>28</v>
      </c>
      <c r="K108" s="18" t="s">
        <v>1799</v>
      </c>
      <c r="L108" s="18" t="s">
        <v>64</v>
      </c>
      <c r="M108" s="10"/>
      <c r="N108" s="10"/>
      <c r="O108" s="10"/>
      <c r="P108" s="10"/>
      <c r="Q108" s="10"/>
      <c r="R108" s="10"/>
      <c r="S108" s="10"/>
      <c r="T108" s="10"/>
      <c r="U108" s="10"/>
    </row>
    <row r="109" ht="15.75" customHeight="1">
      <c r="A109" s="8" t="s">
        <v>1800</v>
      </c>
      <c r="B109" s="8" t="s">
        <v>1801</v>
      </c>
      <c r="C109" s="8" t="s">
        <v>1802</v>
      </c>
      <c r="D109" s="15">
        <v>929.0</v>
      </c>
      <c r="E109" s="8" t="s">
        <v>757</v>
      </c>
      <c r="F109" s="16" t="str">
        <f>HYPERLINK("https://youtu.be/_3gRDHTv1lQ","watch")</f>
        <v>watch</v>
      </c>
      <c r="G109" s="17" t="s">
        <v>1805</v>
      </c>
      <c r="H109" s="18" t="s">
        <v>810</v>
      </c>
      <c r="I109" s="18">
        <v>5.0</v>
      </c>
      <c r="J109" s="18" t="s">
        <v>28</v>
      </c>
      <c r="K109" s="18" t="s">
        <v>1806</v>
      </c>
      <c r="L109" s="18" t="s">
        <v>1807</v>
      </c>
      <c r="M109" s="10"/>
      <c r="N109" s="10"/>
      <c r="O109" s="10"/>
      <c r="P109" s="10"/>
      <c r="Q109" s="10"/>
      <c r="R109" s="10"/>
      <c r="S109" s="10"/>
      <c r="T109" s="10"/>
      <c r="U109" s="10"/>
    </row>
    <row r="110" ht="15.75" customHeight="1">
      <c r="A110" s="8" t="s">
        <v>1809</v>
      </c>
      <c r="B110" s="8" t="s">
        <v>1810</v>
      </c>
      <c r="C110" s="8" t="s">
        <v>1802</v>
      </c>
      <c r="D110" s="15">
        <v>937.0</v>
      </c>
      <c r="E110" s="8" t="s">
        <v>1140</v>
      </c>
      <c r="F110" s="16" t="str">
        <f>HYPERLINK("https://youtu.be/XjM6y2L7v1c","watch")</f>
        <v>watch</v>
      </c>
      <c r="G110" s="17" t="s">
        <v>1812</v>
      </c>
      <c r="H110" s="18" t="s">
        <v>1780</v>
      </c>
      <c r="I110" s="10"/>
      <c r="J110" s="18" t="s">
        <v>28</v>
      </c>
      <c r="K110" s="18" t="s">
        <v>1813</v>
      </c>
      <c r="L110" s="18" t="s">
        <v>1782</v>
      </c>
      <c r="M110" s="10"/>
      <c r="N110" s="10"/>
      <c r="O110" s="10"/>
      <c r="P110" s="10"/>
      <c r="Q110" s="10"/>
      <c r="R110" s="10"/>
      <c r="S110" s="10"/>
      <c r="T110" s="10"/>
      <c r="U110" s="10"/>
    </row>
    <row r="111" ht="15.75" customHeight="1">
      <c r="A111" s="8" t="s">
        <v>1815</v>
      </c>
      <c r="B111" s="8" t="s">
        <v>1816</v>
      </c>
      <c r="C111" s="8" t="s">
        <v>1817</v>
      </c>
      <c r="D111" s="15">
        <v>1007.0</v>
      </c>
      <c r="E111" s="8" t="s">
        <v>1819</v>
      </c>
      <c r="F111" s="16" t="str">
        <f>HYPERLINK("https://youtu.be/0vpWimyqJIE","watch")</f>
        <v>watch</v>
      </c>
      <c r="G111" s="17" t="s">
        <v>1820</v>
      </c>
      <c r="H111" s="18" t="s">
        <v>1780</v>
      </c>
      <c r="I111" s="10"/>
      <c r="J111" s="18" t="s">
        <v>28</v>
      </c>
      <c r="K111" s="18" t="s">
        <v>1821</v>
      </c>
      <c r="L111" s="18" t="s">
        <v>1782</v>
      </c>
      <c r="M111" s="10"/>
      <c r="N111" s="10"/>
      <c r="O111" s="10"/>
      <c r="P111" s="10"/>
      <c r="Q111" s="10"/>
      <c r="R111" s="10"/>
      <c r="S111" s="10"/>
      <c r="T111" s="10"/>
      <c r="U111" s="10"/>
    </row>
    <row r="112" ht="15.75" customHeight="1">
      <c r="A112" s="8" t="s">
        <v>1823</v>
      </c>
      <c r="B112" s="8" t="s">
        <v>1824</v>
      </c>
      <c r="C112" s="8" t="s">
        <v>1817</v>
      </c>
      <c r="D112" s="15">
        <v>1089.0</v>
      </c>
      <c r="E112" s="8" t="s">
        <v>358</v>
      </c>
      <c r="F112" s="16" t="str">
        <f>HYPERLINK("https://youtu.be/udV4EBssAj0","watch")</f>
        <v>watch</v>
      </c>
      <c r="G112" s="17" t="s">
        <v>1826</v>
      </c>
      <c r="H112" s="18" t="s">
        <v>43</v>
      </c>
      <c r="I112" s="18">
        <v>5.0</v>
      </c>
      <c r="J112" s="18" t="s">
        <v>28</v>
      </c>
      <c r="K112" s="18" t="s">
        <v>1827</v>
      </c>
      <c r="L112" s="18" t="s">
        <v>42</v>
      </c>
      <c r="M112" s="10"/>
      <c r="N112" s="10"/>
      <c r="O112" s="10"/>
      <c r="P112" s="10"/>
      <c r="Q112" s="10"/>
      <c r="R112" s="10"/>
      <c r="S112" s="10"/>
      <c r="T112" s="10"/>
      <c r="U112" s="10"/>
    </row>
    <row r="113" ht="15.75" customHeight="1">
      <c r="A113" s="8" t="s">
        <v>1828</v>
      </c>
      <c r="B113" s="8" t="s">
        <v>1830</v>
      </c>
      <c r="C113" s="8" t="s">
        <v>1831</v>
      </c>
      <c r="D113" s="15">
        <v>1228.0</v>
      </c>
      <c r="E113" s="8" t="s">
        <v>1791</v>
      </c>
      <c r="F113" s="16" t="str">
        <f>HYPERLINK("https://youtu.be/xCDigA8yq1Y","watch")</f>
        <v>watch</v>
      </c>
      <c r="G113" s="17" t="s">
        <v>1832</v>
      </c>
      <c r="H113" s="18" t="s">
        <v>43</v>
      </c>
      <c r="I113" s="18">
        <v>4.0</v>
      </c>
      <c r="J113" s="18" t="s">
        <v>48</v>
      </c>
      <c r="K113" s="10"/>
      <c r="L113" s="18" t="s">
        <v>42</v>
      </c>
      <c r="M113" s="10"/>
      <c r="N113" s="10"/>
      <c r="O113" s="10"/>
      <c r="P113" s="10"/>
      <c r="Q113" s="10"/>
      <c r="R113" s="10"/>
      <c r="S113" s="10"/>
      <c r="T113" s="10"/>
      <c r="U113" s="10"/>
    </row>
    <row r="114" ht="15.75" customHeight="1">
      <c r="A114" s="8" t="s">
        <v>1833</v>
      </c>
      <c r="B114" s="8" t="s">
        <v>1835</v>
      </c>
      <c r="C114" s="8" t="s">
        <v>1831</v>
      </c>
      <c r="D114" s="15">
        <v>1296.0</v>
      </c>
      <c r="E114" s="8" t="s">
        <v>492</v>
      </c>
      <c r="F114" s="16" t="str">
        <f>HYPERLINK("https://youtu.be/lcxUwIjlqZY","watch")</f>
        <v>watch</v>
      </c>
      <c r="G114" s="17" t="s">
        <v>1836</v>
      </c>
      <c r="H114" s="18" t="s">
        <v>810</v>
      </c>
      <c r="I114" s="18">
        <v>4.0</v>
      </c>
      <c r="J114" s="18" t="s">
        <v>28</v>
      </c>
      <c r="K114" s="18" t="s">
        <v>1837</v>
      </c>
      <c r="L114" s="18" t="s">
        <v>1807</v>
      </c>
      <c r="M114" s="10"/>
      <c r="N114" s="10"/>
      <c r="O114" s="10"/>
      <c r="P114" s="10"/>
      <c r="Q114" s="10"/>
      <c r="R114" s="10"/>
      <c r="S114" s="10"/>
      <c r="T114" s="10"/>
      <c r="U114" s="10"/>
    </row>
    <row r="115" ht="15.75" customHeight="1">
      <c r="A115" s="8" t="s">
        <v>1839</v>
      </c>
      <c r="B115" s="8" t="s">
        <v>1840</v>
      </c>
      <c r="C115" s="8" t="s">
        <v>1841</v>
      </c>
      <c r="D115" s="15">
        <v>959.0</v>
      </c>
      <c r="E115" s="8" t="s">
        <v>535</v>
      </c>
      <c r="F115" s="16" t="str">
        <f>HYPERLINK("https://youtu.be/0pRHwsEwo3g","watch")</f>
        <v>watch</v>
      </c>
      <c r="G115" s="17" t="s">
        <v>1414</v>
      </c>
      <c r="H115" s="18" t="s">
        <v>810</v>
      </c>
      <c r="I115" s="18">
        <v>3.0</v>
      </c>
      <c r="J115" s="18" t="s">
        <v>48</v>
      </c>
      <c r="K115" s="10"/>
      <c r="L115" s="18" t="s">
        <v>64</v>
      </c>
      <c r="M115" s="10"/>
      <c r="N115" s="10"/>
      <c r="O115" s="10"/>
      <c r="P115" s="10"/>
      <c r="Q115" s="10"/>
      <c r="R115" s="10"/>
      <c r="S115" s="10"/>
      <c r="T115" s="10"/>
      <c r="U115" s="10"/>
    </row>
    <row r="116" ht="15.75" customHeight="1">
      <c r="A116" s="8" t="s">
        <v>1843</v>
      </c>
      <c r="B116" s="8" t="s">
        <v>1844</v>
      </c>
      <c r="C116" s="8" t="s">
        <v>1841</v>
      </c>
      <c r="D116" s="15">
        <v>1001.0</v>
      </c>
      <c r="E116" s="8" t="s">
        <v>757</v>
      </c>
      <c r="F116" s="16" t="str">
        <f>HYPERLINK("https://youtu.be/EKTgIGCiET4","watch")</f>
        <v>watch</v>
      </c>
      <c r="G116" s="17" t="s">
        <v>1847</v>
      </c>
      <c r="H116" s="18" t="s">
        <v>1780</v>
      </c>
      <c r="I116" s="10"/>
      <c r="J116" s="18" t="s">
        <v>48</v>
      </c>
      <c r="K116" s="10"/>
      <c r="L116" s="18" t="s">
        <v>1782</v>
      </c>
      <c r="M116" s="10"/>
      <c r="N116" s="10"/>
      <c r="O116" s="10"/>
      <c r="P116" s="10"/>
      <c r="Q116" s="10"/>
      <c r="R116" s="10"/>
      <c r="S116" s="10"/>
      <c r="T116" s="10"/>
      <c r="U116" s="10"/>
    </row>
    <row r="117" ht="15.75" customHeight="1">
      <c r="A117" s="8" t="s">
        <v>1848</v>
      </c>
      <c r="B117" s="8" t="s">
        <v>1849</v>
      </c>
      <c r="C117" s="8" t="s">
        <v>1850</v>
      </c>
      <c r="D117" s="15">
        <v>1174.0</v>
      </c>
      <c r="E117" s="8" t="s">
        <v>735</v>
      </c>
      <c r="F117" s="16" t="str">
        <f>HYPERLINK("https://youtu.be/-eQ-tG_cj_0","watch")</f>
        <v>watch</v>
      </c>
      <c r="G117" s="17" t="s">
        <v>1852</v>
      </c>
      <c r="H117" s="18" t="s">
        <v>1780</v>
      </c>
      <c r="I117" s="10"/>
      <c r="J117" s="18" t="s">
        <v>48</v>
      </c>
      <c r="K117" s="10"/>
      <c r="L117" s="18" t="s">
        <v>1782</v>
      </c>
      <c r="M117" s="10"/>
      <c r="N117" s="10"/>
      <c r="O117" s="10"/>
      <c r="P117" s="10"/>
      <c r="Q117" s="10"/>
      <c r="R117" s="10"/>
      <c r="S117" s="10"/>
      <c r="T117" s="10"/>
      <c r="U117" s="10"/>
    </row>
    <row r="118" ht="15.75" customHeight="1">
      <c r="A118" s="8" t="s">
        <v>1853</v>
      </c>
      <c r="B118" s="8" t="s">
        <v>1854</v>
      </c>
      <c r="C118" s="8" t="s">
        <v>1850</v>
      </c>
      <c r="D118" s="15">
        <v>899.0</v>
      </c>
      <c r="E118" s="8" t="s">
        <v>1791</v>
      </c>
      <c r="F118" s="16" t="str">
        <f>HYPERLINK("https://youtu.be/-5rVYfdxRJw","watch")</f>
        <v>watch</v>
      </c>
      <c r="G118" s="17" t="s">
        <v>1856</v>
      </c>
      <c r="H118" s="18" t="s">
        <v>43</v>
      </c>
      <c r="I118" s="18">
        <v>3.0</v>
      </c>
      <c r="J118" s="18" t="s">
        <v>48</v>
      </c>
      <c r="K118" s="10"/>
      <c r="L118" s="18" t="s">
        <v>42</v>
      </c>
      <c r="M118" s="10"/>
      <c r="N118" s="10"/>
      <c r="O118" s="10"/>
      <c r="P118" s="10"/>
      <c r="Q118" s="10"/>
      <c r="R118" s="10"/>
      <c r="S118" s="10"/>
      <c r="T118" s="10"/>
      <c r="U118" s="10"/>
    </row>
    <row r="119" ht="15.75" customHeight="1">
      <c r="A119" s="8" t="s">
        <v>1858</v>
      </c>
      <c r="B119" s="8" t="s">
        <v>1860</v>
      </c>
      <c r="C119" s="8" t="s">
        <v>1861</v>
      </c>
      <c r="D119" s="15">
        <v>1510.0</v>
      </c>
      <c r="E119" s="8" t="s">
        <v>1791</v>
      </c>
      <c r="F119" s="16" t="str">
        <f>HYPERLINK("https://youtu.be/1Kd_E966_4k","watch")</f>
        <v>watch</v>
      </c>
      <c r="G119" s="17" t="s">
        <v>1862</v>
      </c>
      <c r="H119" s="18" t="s">
        <v>43</v>
      </c>
      <c r="I119" s="18">
        <v>2.0</v>
      </c>
      <c r="J119" s="18" t="s">
        <v>48</v>
      </c>
      <c r="K119" s="10"/>
      <c r="L119" s="18" t="s">
        <v>42</v>
      </c>
      <c r="M119" s="10"/>
      <c r="N119" s="10"/>
      <c r="O119" s="10"/>
      <c r="P119" s="10"/>
      <c r="Q119" s="10"/>
      <c r="R119" s="10"/>
      <c r="S119" s="10"/>
      <c r="T119" s="10"/>
      <c r="U119" s="10"/>
    </row>
    <row r="120" ht="15.75" customHeight="1">
      <c r="A120" s="8" t="s">
        <v>1865</v>
      </c>
      <c r="B120" s="8" t="s">
        <v>1866</v>
      </c>
      <c r="C120" s="8" t="s">
        <v>1861</v>
      </c>
      <c r="D120" s="15">
        <v>1071.0</v>
      </c>
      <c r="E120" s="8" t="s">
        <v>685</v>
      </c>
      <c r="F120" s="16" t="str">
        <f>HYPERLINK("https://youtu.be/RLYq43B1KX0","watch")</f>
        <v>watch</v>
      </c>
      <c r="G120" s="17" t="s">
        <v>1368</v>
      </c>
      <c r="H120" s="18" t="s">
        <v>810</v>
      </c>
      <c r="I120" s="18">
        <v>2.0</v>
      </c>
      <c r="J120" s="18" t="s">
        <v>48</v>
      </c>
      <c r="K120" s="10"/>
      <c r="L120" s="18" t="s">
        <v>64</v>
      </c>
      <c r="M120" s="10"/>
      <c r="N120" s="10"/>
      <c r="O120" s="10"/>
      <c r="P120" s="10"/>
      <c r="Q120" s="10"/>
      <c r="R120" s="10"/>
      <c r="S120" s="10"/>
      <c r="T120" s="10"/>
      <c r="U120" s="10"/>
    </row>
    <row r="121" ht="15.75" customHeight="1">
      <c r="A121" s="8" t="s">
        <v>1869</v>
      </c>
      <c r="B121" s="8" t="s">
        <v>1870</v>
      </c>
      <c r="C121" s="8" t="s">
        <v>1871</v>
      </c>
      <c r="D121" s="15">
        <v>739.0</v>
      </c>
      <c r="E121" s="8" t="s">
        <v>685</v>
      </c>
      <c r="F121" s="16" t="str">
        <f>HYPERLINK("https://youtu.be/BiBdyozoD_Q","watch")</f>
        <v>watch</v>
      </c>
      <c r="G121" s="17" t="s">
        <v>1873</v>
      </c>
      <c r="H121" s="18" t="s">
        <v>43</v>
      </c>
      <c r="I121" s="18">
        <v>1.0</v>
      </c>
      <c r="J121" s="18" t="s">
        <v>28</v>
      </c>
      <c r="K121" s="18" t="s">
        <v>1874</v>
      </c>
      <c r="L121" s="18" t="s">
        <v>42</v>
      </c>
      <c r="M121" s="10"/>
      <c r="N121" s="10"/>
      <c r="O121" s="10"/>
      <c r="P121" s="10"/>
      <c r="Q121" s="10"/>
      <c r="R121" s="10"/>
      <c r="S121" s="10"/>
      <c r="T121" s="10"/>
      <c r="U121" s="10"/>
    </row>
    <row r="122" ht="15.75" customHeight="1">
      <c r="A122" s="8" t="s">
        <v>1875</v>
      </c>
      <c r="B122" s="8" t="s">
        <v>1876</v>
      </c>
      <c r="C122" s="8" t="s">
        <v>1871</v>
      </c>
      <c r="D122" s="15">
        <v>897.0</v>
      </c>
      <c r="E122" s="8" t="s">
        <v>535</v>
      </c>
      <c r="F122" s="16" t="str">
        <f>HYPERLINK("https://youtu.be/POLXPV2ZpXA","watch")</f>
        <v>watch</v>
      </c>
      <c r="G122" s="17" t="s">
        <v>1879</v>
      </c>
      <c r="H122" s="18" t="s">
        <v>810</v>
      </c>
      <c r="I122" s="18">
        <v>1.0</v>
      </c>
      <c r="J122" s="18" t="s">
        <v>48</v>
      </c>
      <c r="K122" s="10"/>
      <c r="L122" s="18" t="s">
        <v>1807</v>
      </c>
      <c r="M122" s="10"/>
      <c r="N122" s="10"/>
      <c r="O122" s="10"/>
      <c r="P122" s="10"/>
      <c r="Q122" s="10"/>
      <c r="R122" s="10"/>
      <c r="S122" s="10"/>
      <c r="T122" s="10"/>
      <c r="U122" s="10"/>
    </row>
    <row r="123" ht="15.75" customHeight="1">
      <c r="A123" s="8" t="s">
        <v>1881</v>
      </c>
      <c r="B123" s="8" t="s">
        <v>1882</v>
      </c>
      <c r="C123" s="8" t="s">
        <v>1883</v>
      </c>
      <c r="D123" s="15">
        <v>915.0</v>
      </c>
      <c r="E123" s="8" t="s">
        <v>685</v>
      </c>
      <c r="F123" s="16" t="str">
        <f>HYPERLINK("https://youtu.be/7qgnakc3__c","watch")</f>
        <v>watch</v>
      </c>
      <c r="G123" s="17" t="s">
        <v>1885</v>
      </c>
      <c r="H123" s="18" t="s">
        <v>43</v>
      </c>
      <c r="I123" s="18">
        <v>5.0</v>
      </c>
      <c r="J123" s="18" t="s">
        <v>48</v>
      </c>
      <c r="K123" s="10"/>
      <c r="L123" s="18" t="s">
        <v>1807</v>
      </c>
      <c r="M123" s="10"/>
      <c r="N123" s="10"/>
      <c r="O123" s="10"/>
      <c r="P123" s="10"/>
      <c r="Q123" s="10"/>
      <c r="R123" s="10"/>
      <c r="S123" s="10"/>
      <c r="T123" s="10"/>
      <c r="U123" s="10"/>
    </row>
    <row r="124" ht="15.75" customHeight="1">
      <c r="A124" s="8" t="s">
        <v>1889</v>
      </c>
      <c r="B124" s="8" t="s">
        <v>1890</v>
      </c>
      <c r="C124" s="8" t="s">
        <v>1883</v>
      </c>
      <c r="D124" s="15">
        <v>804.0</v>
      </c>
      <c r="E124" s="8" t="s">
        <v>1819</v>
      </c>
      <c r="F124" s="16" t="str">
        <f>HYPERLINK("https://youtu.be/l_vpvsLXG50","watch")</f>
        <v>watch</v>
      </c>
      <c r="G124" s="17" t="s">
        <v>1892</v>
      </c>
      <c r="H124" s="18" t="s">
        <v>43</v>
      </c>
      <c r="I124" s="18">
        <v>6.0</v>
      </c>
      <c r="J124" s="18" t="s">
        <v>28</v>
      </c>
      <c r="K124" s="18" t="s">
        <v>1893</v>
      </c>
      <c r="L124" s="18" t="s">
        <v>1807</v>
      </c>
      <c r="M124" s="10"/>
      <c r="N124" s="10"/>
      <c r="O124" s="10"/>
      <c r="P124" s="10"/>
      <c r="Q124" s="10"/>
      <c r="R124" s="10"/>
      <c r="S124" s="10"/>
      <c r="T124" s="10"/>
      <c r="U124" s="10"/>
    </row>
    <row r="125" ht="15.75" customHeight="1">
      <c r="A125" s="8" t="s">
        <v>1894</v>
      </c>
      <c r="B125" s="8" t="s">
        <v>1895</v>
      </c>
      <c r="C125" s="8" t="s">
        <v>1896</v>
      </c>
      <c r="D125" s="15">
        <v>15.0</v>
      </c>
      <c r="E125" s="8" t="s">
        <v>535</v>
      </c>
      <c r="F125" s="16" t="str">
        <f>HYPERLINK("https://youtu.be/23RED_g8uOE","watch")</f>
        <v>watch</v>
      </c>
      <c r="G125" s="17" t="s">
        <v>1900</v>
      </c>
      <c r="H125" s="18" t="s">
        <v>43</v>
      </c>
      <c r="I125" s="18">
        <v>6.0</v>
      </c>
      <c r="J125" s="18" t="s">
        <v>48</v>
      </c>
      <c r="K125" s="10"/>
      <c r="L125" s="18" t="s">
        <v>42</v>
      </c>
      <c r="M125" s="10"/>
      <c r="N125" s="10"/>
      <c r="O125" s="10"/>
      <c r="P125" s="10"/>
      <c r="Q125" s="10"/>
      <c r="R125" s="10"/>
      <c r="S125" s="10"/>
      <c r="T125" s="10"/>
      <c r="U125" s="10"/>
    </row>
    <row r="126" ht="15.75" customHeight="1">
      <c r="A126" s="8" t="s">
        <v>1902</v>
      </c>
      <c r="B126" s="8" t="s">
        <v>1903</v>
      </c>
      <c r="C126" s="8" t="s">
        <v>1896</v>
      </c>
      <c r="D126" s="15">
        <v>1018.0</v>
      </c>
      <c r="E126" s="8" t="s">
        <v>757</v>
      </c>
      <c r="F126" s="16" t="str">
        <f>HYPERLINK("https://youtu.be/qUzKnP4zmjM","watch")</f>
        <v>watch</v>
      </c>
      <c r="G126" s="17" t="s">
        <v>1907</v>
      </c>
      <c r="H126" s="18" t="s">
        <v>43</v>
      </c>
      <c r="I126" s="18">
        <v>4.0</v>
      </c>
      <c r="J126" s="18" t="s">
        <v>28</v>
      </c>
      <c r="K126" s="18" t="s">
        <v>1909</v>
      </c>
      <c r="L126" s="18" t="s">
        <v>1807</v>
      </c>
      <c r="M126" s="10"/>
      <c r="N126" s="10"/>
      <c r="O126" s="10"/>
      <c r="P126" s="10"/>
      <c r="Q126" s="10"/>
      <c r="R126" s="10"/>
      <c r="S126" s="10"/>
      <c r="T126" s="10"/>
      <c r="U126" s="10"/>
    </row>
    <row r="127" ht="15.75" customHeight="1">
      <c r="A127" s="8" t="s">
        <v>1911</v>
      </c>
      <c r="B127" s="8" t="s">
        <v>1912</v>
      </c>
      <c r="C127" s="8" t="s">
        <v>1913</v>
      </c>
      <c r="D127" s="15">
        <v>1013.0</v>
      </c>
      <c r="E127" s="8" t="s">
        <v>735</v>
      </c>
      <c r="F127" s="16" t="str">
        <f>HYPERLINK("https://youtu.be/vW8lkXEx3Ao","watch")</f>
        <v>watch</v>
      </c>
      <c r="G127" s="17" t="s">
        <v>1916</v>
      </c>
      <c r="H127" s="18" t="s">
        <v>43</v>
      </c>
      <c r="I127" s="18">
        <v>6.0</v>
      </c>
      <c r="J127" s="18" t="s">
        <v>28</v>
      </c>
      <c r="K127" s="18" t="s">
        <v>1917</v>
      </c>
      <c r="L127" s="18" t="s">
        <v>81</v>
      </c>
      <c r="M127" s="10"/>
      <c r="N127" s="10"/>
      <c r="O127" s="10"/>
      <c r="P127" s="10"/>
      <c r="Q127" s="10"/>
      <c r="R127" s="10"/>
      <c r="S127" s="10"/>
      <c r="T127" s="10"/>
      <c r="U127" s="10"/>
    </row>
    <row r="128" ht="15.75" customHeight="1">
      <c r="A128" s="8" t="s">
        <v>1918</v>
      </c>
      <c r="B128" s="8" t="s">
        <v>1919</v>
      </c>
      <c r="C128" s="8" t="s">
        <v>1913</v>
      </c>
      <c r="D128" s="15">
        <v>946.0</v>
      </c>
      <c r="E128" s="8" t="s">
        <v>735</v>
      </c>
      <c r="F128" s="16" t="str">
        <f>HYPERLINK("https://youtu.be/16GEn7wSyuk","watch")</f>
        <v>watch</v>
      </c>
      <c r="G128" s="17" t="s">
        <v>1922</v>
      </c>
      <c r="H128" s="18" t="s">
        <v>43</v>
      </c>
      <c r="I128" s="18">
        <v>5.0</v>
      </c>
      <c r="J128" s="18" t="s">
        <v>28</v>
      </c>
      <c r="K128" s="18" t="s">
        <v>1025</v>
      </c>
      <c r="L128" s="18" t="s">
        <v>42</v>
      </c>
      <c r="M128" s="10"/>
      <c r="N128" s="10"/>
      <c r="O128" s="10"/>
      <c r="P128" s="10"/>
      <c r="Q128" s="10"/>
      <c r="R128" s="10"/>
      <c r="S128" s="10"/>
      <c r="T128" s="10"/>
      <c r="U128" s="10"/>
    </row>
    <row r="129" ht="15.75" customHeight="1">
      <c r="A129" s="8" t="s">
        <v>1925</v>
      </c>
      <c r="B129" s="8" t="s">
        <v>1926</v>
      </c>
      <c r="C129" s="8" t="s">
        <v>1927</v>
      </c>
      <c r="D129" s="15">
        <v>905.0</v>
      </c>
      <c r="E129" s="8" t="s">
        <v>1791</v>
      </c>
      <c r="F129" s="16" t="str">
        <f>HYPERLINK("https://youtu.be/i_YeXB489EY","watch")</f>
        <v>watch</v>
      </c>
      <c r="G129" s="17" t="s">
        <v>1929</v>
      </c>
      <c r="H129" s="18" t="s">
        <v>43</v>
      </c>
      <c r="I129" s="18">
        <v>4.0</v>
      </c>
      <c r="J129" s="18" t="s">
        <v>48</v>
      </c>
      <c r="K129" s="10"/>
      <c r="L129" s="18" t="s">
        <v>42</v>
      </c>
      <c r="M129" s="10"/>
      <c r="N129" s="10"/>
      <c r="O129" s="10"/>
      <c r="P129" s="10"/>
      <c r="Q129" s="10"/>
      <c r="R129" s="10"/>
      <c r="S129" s="10"/>
      <c r="T129" s="10"/>
      <c r="U129" s="10"/>
    </row>
    <row r="130" ht="15.75" customHeight="1">
      <c r="A130" s="8" t="s">
        <v>1930</v>
      </c>
      <c r="B130" s="8" t="s">
        <v>1931</v>
      </c>
      <c r="C130" s="8" t="s">
        <v>1927</v>
      </c>
      <c r="D130" s="15">
        <v>28.0</v>
      </c>
      <c r="E130" s="8" t="s">
        <v>358</v>
      </c>
      <c r="F130" s="16" t="str">
        <f>HYPERLINK("https://youtu.be/wtUPdMnZ_S8","watch")</f>
        <v>watch</v>
      </c>
      <c r="G130" s="17" t="s">
        <v>1934</v>
      </c>
      <c r="H130" s="18" t="s">
        <v>43</v>
      </c>
      <c r="I130" s="18">
        <v>3.0</v>
      </c>
      <c r="J130" s="18" t="s">
        <v>1935</v>
      </c>
      <c r="K130" s="18" t="s">
        <v>1936</v>
      </c>
      <c r="L130" s="18" t="s">
        <v>64</v>
      </c>
      <c r="M130" s="10"/>
      <c r="N130" s="10"/>
      <c r="O130" s="10"/>
      <c r="P130" s="10"/>
      <c r="Q130" s="10"/>
      <c r="R130" s="10"/>
      <c r="S130" s="10"/>
      <c r="T130" s="10"/>
      <c r="U130" s="10"/>
    </row>
    <row r="131" ht="15.75" customHeight="1">
      <c r="A131" s="8" t="s">
        <v>1938</v>
      </c>
      <c r="B131" s="8" t="s">
        <v>1939</v>
      </c>
      <c r="C131" s="8" t="s">
        <v>1940</v>
      </c>
      <c r="D131" s="15">
        <v>1253.0</v>
      </c>
      <c r="E131" s="8" t="s">
        <v>358</v>
      </c>
      <c r="F131" s="16" t="str">
        <f>HYPERLINK("https://youtu.be/Y6rNMk6_kFs","watch")</f>
        <v>watch</v>
      </c>
      <c r="G131" s="17" t="s">
        <v>1941</v>
      </c>
      <c r="H131" s="18" t="s">
        <v>43</v>
      </c>
      <c r="I131" s="18">
        <v>2.0</v>
      </c>
      <c r="J131" s="18" t="s">
        <v>28</v>
      </c>
      <c r="K131" s="18" t="s">
        <v>1942</v>
      </c>
      <c r="L131" s="18" t="s">
        <v>1807</v>
      </c>
      <c r="M131" s="10"/>
      <c r="N131" s="10"/>
      <c r="O131" s="10"/>
      <c r="P131" s="10"/>
      <c r="Q131" s="10"/>
      <c r="R131" s="10"/>
      <c r="S131" s="10"/>
      <c r="T131" s="10"/>
      <c r="U131" s="10"/>
    </row>
    <row r="132" ht="15.75" customHeight="1">
      <c r="A132" s="8" t="s">
        <v>1945</v>
      </c>
      <c r="B132" s="8" t="s">
        <v>1946</v>
      </c>
      <c r="C132" s="8" t="s">
        <v>1940</v>
      </c>
      <c r="D132" s="15">
        <v>1111.0</v>
      </c>
      <c r="E132" s="8" t="s">
        <v>1791</v>
      </c>
      <c r="F132" s="16" t="str">
        <f>HYPERLINK("https://youtu.be/iPxD2pp1zHo","watch")</f>
        <v>watch</v>
      </c>
      <c r="G132" s="17" t="s">
        <v>1948</v>
      </c>
      <c r="H132" s="18" t="s">
        <v>43</v>
      </c>
      <c r="I132" s="18">
        <v>5.0</v>
      </c>
      <c r="J132" s="18" t="s">
        <v>48</v>
      </c>
      <c r="K132" s="10"/>
      <c r="L132" s="18" t="s">
        <v>81</v>
      </c>
      <c r="M132" s="10"/>
      <c r="N132" s="10"/>
      <c r="O132" s="10"/>
      <c r="P132" s="10"/>
      <c r="Q132" s="10"/>
      <c r="R132" s="10"/>
      <c r="S132" s="10"/>
      <c r="T132" s="10"/>
      <c r="U132" s="10"/>
    </row>
    <row r="133" ht="15.75" customHeight="1">
      <c r="A133" s="8" t="s">
        <v>1949</v>
      </c>
      <c r="B133" s="8" t="s">
        <v>1950</v>
      </c>
      <c r="C133" s="8" t="s">
        <v>1951</v>
      </c>
      <c r="D133" s="15">
        <v>928.0</v>
      </c>
      <c r="E133" s="8" t="s">
        <v>535</v>
      </c>
      <c r="F133" s="16" t="str">
        <f>HYPERLINK("https://youtu.be/jAkffPVM-JA","watch")</f>
        <v>watch</v>
      </c>
      <c r="G133" s="17" t="s">
        <v>1954</v>
      </c>
      <c r="H133" s="18" t="s">
        <v>43</v>
      </c>
      <c r="I133" s="18">
        <v>4.0</v>
      </c>
      <c r="J133" s="18" t="s">
        <v>28</v>
      </c>
      <c r="K133" s="18" t="s">
        <v>1955</v>
      </c>
      <c r="L133" s="18" t="s">
        <v>81</v>
      </c>
      <c r="M133" s="10"/>
      <c r="N133" s="10"/>
      <c r="O133" s="10"/>
      <c r="P133" s="10"/>
      <c r="Q133" s="10"/>
      <c r="R133" s="10"/>
      <c r="S133" s="10"/>
      <c r="T133" s="10"/>
      <c r="U133" s="10"/>
    </row>
    <row r="134" ht="15.75" customHeight="1">
      <c r="A134" s="8" t="s">
        <v>1957</v>
      </c>
      <c r="B134" s="8" t="s">
        <v>1958</v>
      </c>
      <c r="C134" s="8" t="s">
        <v>1951</v>
      </c>
      <c r="D134" s="15">
        <v>1831.0</v>
      </c>
      <c r="E134" s="8" t="s">
        <v>685</v>
      </c>
      <c r="F134" s="16" t="str">
        <f>HYPERLINK("https://youtu.be/c-5u5X8BT_Y","watch")</f>
        <v>watch</v>
      </c>
      <c r="G134" s="17" t="s">
        <v>1960</v>
      </c>
      <c r="H134" s="18" t="s">
        <v>43</v>
      </c>
      <c r="I134" s="18">
        <v>3.0</v>
      </c>
      <c r="J134" s="18" t="s">
        <v>1935</v>
      </c>
      <c r="K134" s="18" t="s">
        <v>1961</v>
      </c>
      <c r="L134" s="18" t="s">
        <v>42</v>
      </c>
      <c r="M134" s="10"/>
      <c r="N134" s="10"/>
      <c r="O134" s="10"/>
      <c r="P134" s="10"/>
      <c r="Q134" s="10"/>
      <c r="R134" s="10"/>
      <c r="S134" s="10"/>
      <c r="T134" s="10"/>
      <c r="U134" s="10"/>
    </row>
    <row r="135" ht="15.75" customHeight="1">
      <c r="A135" s="8" t="s">
        <v>1963</v>
      </c>
      <c r="B135" s="8" t="s">
        <v>1964</v>
      </c>
      <c r="C135" s="8" t="s">
        <v>1965</v>
      </c>
      <c r="D135" s="15">
        <v>777.0</v>
      </c>
      <c r="E135" s="8" t="s">
        <v>685</v>
      </c>
      <c r="F135" s="16" t="str">
        <f>HYPERLINK("https://youtu.be/JPzh3KWw084","watch")</f>
        <v>watch</v>
      </c>
      <c r="G135" s="17" t="s">
        <v>1967</v>
      </c>
      <c r="H135" s="18" t="s">
        <v>43</v>
      </c>
      <c r="I135" s="18">
        <v>1.0</v>
      </c>
      <c r="J135" s="18" t="s">
        <v>48</v>
      </c>
      <c r="K135" s="10"/>
      <c r="L135" s="18" t="s">
        <v>64</v>
      </c>
      <c r="M135" s="10"/>
      <c r="N135" s="10"/>
      <c r="O135" s="10"/>
      <c r="P135" s="10"/>
      <c r="Q135" s="10"/>
      <c r="R135" s="10"/>
      <c r="S135" s="10"/>
      <c r="T135" s="10"/>
      <c r="U135" s="10"/>
    </row>
    <row r="136" ht="15.75" customHeight="1">
      <c r="A136" s="8" t="s">
        <v>1970</v>
      </c>
      <c r="B136" s="8" t="s">
        <v>1971</v>
      </c>
      <c r="C136" s="8" t="s">
        <v>1965</v>
      </c>
      <c r="D136" s="15">
        <v>1002.0</v>
      </c>
      <c r="E136" s="8" t="s">
        <v>1972</v>
      </c>
      <c r="F136" s="16" t="str">
        <f>HYPERLINK("https://youtu.be/xJyZLladJ0Q","watch")</f>
        <v>watch</v>
      </c>
      <c r="G136" s="17" t="s">
        <v>1975</v>
      </c>
      <c r="H136" s="18" t="s">
        <v>43</v>
      </c>
      <c r="I136" s="18">
        <v>2.0</v>
      </c>
      <c r="J136" s="18" t="s">
        <v>48</v>
      </c>
      <c r="K136" s="10"/>
      <c r="L136" s="18" t="s">
        <v>42</v>
      </c>
      <c r="M136" s="10"/>
      <c r="N136" s="10"/>
      <c r="O136" s="10"/>
      <c r="P136" s="10"/>
      <c r="Q136" s="10"/>
      <c r="R136" s="10"/>
      <c r="S136" s="10"/>
      <c r="T136" s="10"/>
      <c r="U136" s="10"/>
    </row>
    <row r="137" ht="15.75" customHeight="1">
      <c r="A137" s="8" t="s">
        <v>1976</v>
      </c>
      <c r="B137" s="8" t="s">
        <v>1977</v>
      </c>
      <c r="C137" s="8" t="s">
        <v>1979</v>
      </c>
      <c r="D137" s="15">
        <v>1135.0</v>
      </c>
      <c r="E137" s="8" t="s">
        <v>685</v>
      </c>
      <c r="F137" s="16" t="str">
        <f>HYPERLINK("https://youtu.be/APS_RnpORC8","watch")</f>
        <v>watch</v>
      </c>
      <c r="G137" s="17" t="s">
        <v>1980</v>
      </c>
      <c r="H137" s="18" t="s">
        <v>43</v>
      </c>
      <c r="I137" s="18">
        <v>1.0</v>
      </c>
      <c r="J137" s="18" t="s">
        <v>48</v>
      </c>
      <c r="K137" s="10"/>
      <c r="L137" s="18" t="s">
        <v>42</v>
      </c>
      <c r="M137" s="10"/>
      <c r="N137" s="10"/>
      <c r="O137" s="10"/>
      <c r="P137" s="10"/>
      <c r="Q137" s="10"/>
      <c r="R137" s="10"/>
      <c r="S137" s="10"/>
      <c r="T137" s="10"/>
      <c r="U137" s="10"/>
    </row>
    <row r="138" ht="15.75" customHeight="1">
      <c r="A138" s="8" t="s">
        <v>1983</v>
      </c>
      <c r="B138" s="8" t="s">
        <v>1984</v>
      </c>
      <c r="C138" s="8" t="s">
        <v>1979</v>
      </c>
      <c r="D138" s="15">
        <v>1110.0</v>
      </c>
      <c r="E138" s="8" t="s">
        <v>1791</v>
      </c>
      <c r="F138" s="16" t="str">
        <f>HYPERLINK("https://youtu.be/kcmXPW6_Odo","watch")</f>
        <v>watch</v>
      </c>
      <c r="G138" s="17" t="s">
        <v>1985</v>
      </c>
      <c r="H138" s="18" t="s">
        <v>43</v>
      </c>
      <c r="I138" s="18">
        <v>3.0</v>
      </c>
      <c r="J138" s="18" t="s">
        <v>48</v>
      </c>
      <c r="K138" s="10"/>
      <c r="L138" s="18" t="s">
        <v>81</v>
      </c>
      <c r="M138" s="10"/>
      <c r="N138" s="10"/>
      <c r="O138" s="10"/>
      <c r="P138" s="10"/>
      <c r="Q138" s="10"/>
      <c r="R138" s="10"/>
      <c r="S138" s="10"/>
      <c r="T138" s="10"/>
      <c r="U138" s="10"/>
    </row>
    <row r="139" ht="15.75" customHeight="1">
      <c r="A139" s="8" t="s">
        <v>1987</v>
      </c>
      <c r="B139" s="8" t="s">
        <v>1988</v>
      </c>
      <c r="C139" s="8" t="s">
        <v>1989</v>
      </c>
      <c r="D139" s="15">
        <v>1146.0</v>
      </c>
      <c r="E139" s="8" t="s">
        <v>1791</v>
      </c>
      <c r="F139" s="16" t="str">
        <f>HYPERLINK("https://youtu.be/xrJFDqGZjOs","watch")</f>
        <v>watch</v>
      </c>
      <c r="G139" s="17" t="s">
        <v>1991</v>
      </c>
      <c r="H139" s="18" t="s">
        <v>43</v>
      </c>
      <c r="I139" s="18">
        <v>2.0</v>
      </c>
      <c r="J139" s="18" t="s">
        <v>48</v>
      </c>
      <c r="K139" s="10"/>
      <c r="L139" s="18" t="s">
        <v>81</v>
      </c>
      <c r="M139" s="10"/>
      <c r="N139" s="10"/>
      <c r="O139" s="10"/>
      <c r="P139" s="10"/>
      <c r="Q139" s="10"/>
      <c r="R139" s="10"/>
      <c r="S139" s="10"/>
      <c r="T139" s="10"/>
      <c r="U139" s="10"/>
    </row>
    <row r="140" ht="15.75" customHeight="1">
      <c r="A140" s="8" t="s">
        <v>1992</v>
      </c>
      <c r="B140" s="8" t="s">
        <v>1993</v>
      </c>
      <c r="C140" s="8" t="s">
        <v>1989</v>
      </c>
      <c r="D140" s="15">
        <v>271.0</v>
      </c>
      <c r="E140" s="8" t="s">
        <v>358</v>
      </c>
      <c r="F140" s="16" t="str">
        <f>HYPERLINK("https://youtu.be/CT5t8mKeZUw","watch")</f>
        <v>watch</v>
      </c>
      <c r="G140" s="17" t="s">
        <v>199</v>
      </c>
      <c r="H140" s="18" t="s">
        <v>301</v>
      </c>
      <c r="I140" s="18">
        <v>9.0</v>
      </c>
      <c r="J140" s="18" t="s">
        <v>48</v>
      </c>
      <c r="K140" s="10"/>
      <c r="L140" s="18" t="s">
        <v>199</v>
      </c>
      <c r="M140" s="10"/>
      <c r="N140" s="10"/>
      <c r="O140" s="10"/>
      <c r="P140" s="10"/>
      <c r="Q140" s="10"/>
      <c r="R140" s="10"/>
      <c r="S140" s="10"/>
      <c r="T140" s="10"/>
      <c r="U140" s="10"/>
    </row>
    <row r="141" ht="15.75" customHeight="1">
      <c r="A141" s="8" t="s">
        <v>1997</v>
      </c>
      <c r="B141" s="8" t="s">
        <v>1998</v>
      </c>
      <c r="C141" s="8" t="s">
        <v>1999</v>
      </c>
      <c r="D141" s="15">
        <v>1152.0</v>
      </c>
      <c r="E141" s="8" t="s">
        <v>535</v>
      </c>
      <c r="F141" s="16" t="str">
        <f>HYPERLINK("https://youtu.be/W2eIV9tya84","watch")</f>
        <v>watch</v>
      </c>
      <c r="G141" s="17" t="s">
        <v>2000</v>
      </c>
      <c r="H141" s="18" t="s">
        <v>43</v>
      </c>
      <c r="I141" s="18">
        <v>1.0</v>
      </c>
      <c r="J141" s="18" t="s">
        <v>28</v>
      </c>
      <c r="K141" s="18" t="s">
        <v>2002</v>
      </c>
      <c r="L141" s="18" t="s">
        <v>81</v>
      </c>
      <c r="M141" s="10"/>
      <c r="N141" s="10"/>
      <c r="O141" s="10"/>
      <c r="P141" s="10"/>
      <c r="Q141" s="10"/>
      <c r="R141" s="10"/>
      <c r="S141" s="10"/>
      <c r="T141" s="10"/>
      <c r="U141" s="10"/>
    </row>
    <row r="142" ht="15.75" customHeight="1">
      <c r="A142" s="8" t="s">
        <v>2003</v>
      </c>
      <c r="B142" s="8" t="s">
        <v>2004</v>
      </c>
      <c r="C142" s="8" t="s">
        <v>1999</v>
      </c>
      <c r="D142" s="15">
        <v>1014.0</v>
      </c>
      <c r="E142" s="8" t="s">
        <v>492</v>
      </c>
      <c r="F142" s="16" t="str">
        <f>HYPERLINK("https://youtu.be/2wZwMWDlxP0","watch")</f>
        <v>watch</v>
      </c>
      <c r="G142" s="17" t="s">
        <v>2006</v>
      </c>
      <c r="H142" s="18" t="s">
        <v>301</v>
      </c>
      <c r="I142" s="18">
        <v>8.0</v>
      </c>
      <c r="J142" s="18" t="s">
        <v>48</v>
      </c>
      <c r="K142" s="10"/>
      <c r="L142" s="18" t="s">
        <v>199</v>
      </c>
      <c r="M142" s="10"/>
      <c r="N142" s="10"/>
      <c r="O142" s="10"/>
      <c r="P142" s="10"/>
      <c r="Q142" s="10"/>
      <c r="R142" s="10"/>
      <c r="S142" s="10"/>
      <c r="T142" s="10"/>
      <c r="U142" s="10"/>
    </row>
    <row r="143" ht="15.75" customHeight="1">
      <c r="A143" s="8" t="s">
        <v>2007</v>
      </c>
      <c r="B143" s="8" t="s">
        <v>2008</v>
      </c>
      <c r="C143" s="8" t="s">
        <v>2009</v>
      </c>
      <c r="D143" s="15">
        <v>1862.0</v>
      </c>
      <c r="E143" s="8" t="s">
        <v>735</v>
      </c>
      <c r="F143" s="16" t="str">
        <f>HYPERLINK("https://youtu.be/hbUa4l-xono","watch")</f>
        <v>watch</v>
      </c>
      <c r="G143" s="17" t="s">
        <v>2011</v>
      </c>
      <c r="H143" s="18" t="s">
        <v>25</v>
      </c>
      <c r="I143" s="18">
        <v>12.0</v>
      </c>
      <c r="J143" s="10" t="s">
        <v>28</v>
      </c>
      <c r="K143" s="18" t="s">
        <v>2012</v>
      </c>
      <c r="L143" s="18" t="s">
        <v>161</v>
      </c>
      <c r="M143" s="10"/>
      <c r="N143" s="10"/>
      <c r="O143" s="10"/>
      <c r="P143" s="10"/>
      <c r="Q143" s="10"/>
      <c r="R143" s="10"/>
      <c r="S143" s="10"/>
      <c r="T143" s="10"/>
      <c r="U143" s="10"/>
    </row>
    <row r="144" ht="15.75" customHeight="1">
      <c r="A144" s="8" t="s">
        <v>2014</v>
      </c>
      <c r="B144" s="8" t="s">
        <v>2015</v>
      </c>
      <c r="C144" s="8" t="s">
        <v>2009</v>
      </c>
      <c r="D144" s="15">
        <v>937.0</v>
      </c>
      <c r="E144" s="8" t="s">
        <v>757</v>
      </c>
      <c r="F144" s="16" t="str">
        <f>HYPERLINK("https://youtu.be/Q26NJsmeVko","watch")</f>
        <v>watch</v>
      </c>
      <c r="G144" s="17" t="s">
        <v>2016</v>
      </c>
      <c r="H144" s="18" t="s">
        <v>301</v>
      </c>
      <c r="I144" s="18">
        <v>7.0</v>
      </c>
      <c r="J144" s="10" t="s">
        <v>28</v>
      </c>
      <c r="K144" s="18" t="s">
        <v>2018</v>
      </c>
      <c r="L144" s="18" t="s">
        <v>199</v>
      </c>
      <c r="M144" s="10"/>
      <c r="N144" s="10"/>
      <c r="O144" s="10"/>
      <c r="P144" s="10"/>
      <c r="Q144" s="10"/>
      <c r="R144" s="10"/>
      <c r="S144" s="10"/>
      <c r="T144" s="10"/>
      <c r="U144" s="10"/>
    </row>
    <row r="145" ht="15.75" customHeight="1">
      <c r="A145" s="8" t="s">
        <v>2019</v>
      </c>
      <c r="B145" s="8" t="s">
        <v>2020</v>
      </c>
      <c r="C145" s="8" t="s">
        <v>2021</v>
      </c>
      <c r="D145" s="15">
        <v>1099.0</v>
      </c>
      <c r="E145" s="8" t="s">
        <v>492</v>
      </c>
      <c r="F145" s="16" t="str">
        <f>HYPERLINK("https://youtu.be/c7J6-dTu4jo","watch")</f>
        <v>watch</v>
      </c>
      <c r="G145" s="17" t="s">
        <v>2025</v>
      </c>
      <c r="H145" s="18" t="s">
        <v>301</v>
      </c>
      <c r="I145" s="18">
        <v>6.0</v>
      </c>
      <c r="J145" s="18" t="s">
        <v>48</v>
      </c>
      <c r="K145" s="10"/>
      <c r="L145" s="18" t="s">
        <v>199</v>
      </c>
      <c r="M145" s="10"/>
      <c r="N145" s="10"/>
      <c r="O145" s="10"/>
      <c r="P145" s="10"/>
      <c r="Q145" s="10"/>
      <c r="R145" s="10"/>
      <c r="S145" s="10"/>
      <c r="T145" s="10"/>
      <c r="U145" s="10"/>
    </row>
    <row r="146" ht="15.75" customHeight="1">
      <c r="A146" s="8" t="s">
        <v>2026</v>
      </c>
      <c r="B146" s="8" t="s">
        <v>2027</v>
      </c>
      <c r="C146" s="8" t="s">
        <v>2021</v>
      </c>
      <c r="D146" s="15">
        <v>984.0</v>
      </c>
      <c r="E146" s="8" t="s">
        <v>757</v>
      </c>
      <c r="F146" s="16" t="str">
        <f>HYPERLINK("https://youtu.be/dFIdg1ZRxDM","watch")</f>
        <v>watch</v>
      </c>
      <c r="G146" s="17" t="s">
        <v>64</v>
      </c>
      <c r="H146" s="18" t="s">
        <v>301</v>
      </c>
      <c r="I146" s="18">
        <v>9.0</v>
      </c>
      <c r="J146" s="18" t="s">
        <v>48</v>
      </c>
      <c r="K146" s="10"/>
      <c r="L146" s="18" t="s">
        <v>64</v>
      </c>
      <c r="M146" s="10"/>
      <c r="N146" s="10"/>
      <c r="O146" s="10"/>
      <c r="P146" s="10"/>
      <c r="Q146" s="10"/>
      <c r="R146" s="10"/>
      <c r="S146" s="10"/>
      <c r="T146" s="10"/>
      <c r="U146" s="10"/>
    </row>
    <row r="147" ht="15.75" customHeight="1">
      <c r="A147" s="8" t="s">
        <v>2031</v>
      </c>
      <c r="B147" s="8" t="s">
        <v>2033</v>
      </c>
      <c r="C147" s="8" t="s">
        <v>2034</v>
      </c>
      <c r="D147" s="15">
        <v>1337.0</v>
      </c>
      <c r="E147" s="8" t="s">
        <v>735</v>
      </c>
      <c r="F147" s="16" t="str">
        <f>HYPERLINK("https://youtu.be/CP7sMGF3p3M","watch")</f>
        <v>watch</v>
      </c>
      <c r="G147" s="17" t="s">
        <v>2037</v>
      </c>
      <c r="H147" s="18" t="s">
        <v>43</v>
      </c>
      <c r="I147" s="18">
        <v>6.0</v>
      </c>
      <c r="J147" s="18" t="s">
        <v>28</v>
      </c>
      <c r="K147" s="18" t="s">
        <v>2038</v>
      </c>
      <c r="L147" s="18" t="s">
        <v>2039</v>
      </c>
      <c r="M147" s="10"/>
      <c r="N147" s="10"/>
      <c r="O147" s="10"/>
      <c r="P147" s="10"/>
      <c r="Q147" s="10"/>
      <c r="R147" s="10"/>
      <c r="S147" s="10"/>
      <c r="T147" s="10"/>
      <c r="U147" s="10"/>
    </row>
    <row r="148" ht="15.75" customHeight="1">
      <c r="A148" s="8" t="s">
        <v>2042</v>
      </c>
      <c r="B148" s="8" t="s">
        <v>2044</v>
      </c>
      <c r="C148" s="8" t="s">
        <v>2034</v>
      </c>
      <c r="D148" s="15">
        <v>1118.0</v>
      </c>
      <c r="E148" s="8" t="s">
        <v>358</v>
      </c>
      <c r="F148" s="16" t="str">
        <f>HYPERLINK("https://youtu.be/25YT9cNRpqk","watch")</f>
        <v>watch</v>
      </c>
      <c r="G148" s="17" t="s">
        <v>2045</v>
      </c>
      <c r="H148" s="18" t="s">
        <v>25</v>
      </c>
      <c r="I148" s="18">
        <v>11.0</v>
      </c>
      <c r="J148" s="10" t="s">
        <v>28</v>
      </c>
      <c r="K148" s="18" t="s">
        <v>2048</v>
      </c>
      <c r="L148" s="18" t="s">
        <v>161</v>
      </c>
      <c r="M148" s="10"/>
      <c r="N148" s="10"/>
      <c r="O148" s="10"/>
      <c r="P148" s="10"/>
      <c r="Q148" s="10"/>
      <c r="R148" s="10"/>
      <c r="S148" s="10"/>
      <c r="T148" s="10"/>
      <c r="U148" s="10"/>
    </row>
    <row r="149" ht="15.75" customHeight="1">
      <c r="A149" s="8" t="s">
        <v>2050</v>
      </c>
      <c r="B149" s="8" t="s">
        <v>2051</v>
      </c>
      <c r="C149" s="8" t="s">
        <v>2052</v>
      </c>
      <c r="D149" s="15">
        <v>1651.0</v>
      </c>
      <c r="E149" s="8" t="s">
        <v>1791</v>
      </c>
      <c r="F149" s="16" t="str">
        <f>HYPERLINK("https://youtu.be/e6vbNj4YRJI","watch")</f>
        <v>watch</v>
      </c>
      <c r="G149" s="17" t="s">
        <v>1737</v>
      </c>
      <c r="H149" s="18" t="s">
        <v>25</v>
      </c>
      <c r="I149" s="18">
        <v>5.0</v>
      </c>
      <c r="J149" s="18" t="s">
        <v>48</v>
      </c>
      <c r="K149" s="10"/>
      <c r="L149" s="18" t="s">
        <v>42</v>
      </c>
      <c r="M149" s="10"/>
      <c r="N149" s="10"/>
      <c r="O149" s="10"/>
      <c r="P149" s="10"/>
      <c r="Q149" s="10"/>
      <c r="R149" s="10"/>
      <c r="S149" s="10"/>
      <c r="T149" s="10"/>
      <c r="U149" s="10"/>
    </row>
    <row r="150" ht="15.75" customHeight="1">
      <c r="A150" s="8" t="s">
        <v>2057</v>
      </c>
      <c r="B150" s="8" t="s">
        <v>2058</v>
      </c>
      <c r="C150" s="8" t="s">
        <v>2052</v>
      </c>
      <c r="D150" s="15">
        <v>1453.0</v>
      </c>
      <c r="E150" s="8" t="s">
        <v>1791</v>
      </c>
      <c r="F150" s="16" t="str">
        <f>HYPERLINK("https://youtu.be/HS0sPhhG3jo","watch")</f>
        <v>watch</v>
      </c>
      <c r="G150" s="17" t="s">
        <v>1725</v>
      </c>
      <c r="H150" s="18" t="s">
        <v>25</v>
      </c>
      <c r="I150" s="18">
        <v>6.0</v>
      </c>
      <c r="J150" s="18" t="s">
        <v>28</v>
      </c>
      <c r="K150" s="18" t="s">
        <v>1746</v>
      </c>
      <c r="L150" s="18" t="s">
        <v>42</v>
      </c>
      <c r="M150" s="10"/>
      <c r="N150" s="10"/>
      <c r="O150" s="10"/>
      <c r="P150" s="10"/>
      <c r="Q150" s="10"/>
      <c r="R150" s="10"/>
      <c r="S150" s="10"/>
      <c r="T150" s="10"/>
      <c r="U150" s="10"/>
    </row>
    <row r="151" ht="15.75" customHeight="1">
      <c r="A151" s="8" t="s">
        <v>2063</v>
      </c>
      <c r="B151" s="8" t="s">
        <v>2064</v>
      </c>
      <c r="C151" s="8" t="s">
        <v>2065</v>
      </c>
      <c r="D151" s="15">
        <v>1428.0</v>
      </c>
      <c r="E151" s="8" t="s">
        <v>1791</v>
      </c>
      <c r="F151" s="16" t="str">
        <f>HYPERLINK("https://youtu.be/-jstsp3DQNI","watch")</f>
        <v>watch</v>
      </c>
      <c r="G151" s="17" t="s">
        <v>1356</v>
      </c>
      <c r="H151" s="18" t="s">
        <v>25</v>
      </c>
      <c r="I151" s="18">
        <v>3.0</v>
      </c>
      <c r="J151" s="18" t="s">
        <v>48</v>
      </c>
      <c r="K151" s="10"/>
      <c r="L151" s="18" t="s">
        <v>42</v>
      </c>
      <c r="M151" s="10"/>
      <c r="N151" s="10"/>
      <c r="O151" s="10"/>
      <c r="P151" s="10"/>
      <c r="Q151" s="10"/>
      <c r="R151" s="10"/>
      <c r="S151" s="10"/>
      <c r="T151" s="10"/>
      <c r="U151" s="10"/>
    </row>
    <row r="152" ht="15.75" customHeight="1">
      <c r="A152" s="8" t="s">
        <v>2067</v>
      </c>
      <c r="B152" s="8" t="s">
        <v>2068</v>
      </c>
      <c r="C152" s="8" t="s">
        <v>2065</v>
      </c>
      <c r="D152" s="15">
        <v>1213.0</v>
      </c>
      <c r="E152" s="8" t="s">
        <v>2070</v>
      </c>
      <c r="F152" s="16" t="str">
        <f>HYPERLINK("https://youtu.be/cdvEaKdmjeU","watch")</f>
        <v>watch</v>
      </c>
      <c r="G152" s="17" t="s">
        <v>1745</v>
      </c>
      <c r="H152" s="18" t="s">
        <v>25</v>
      </c>
      <c r="I152" s="18">
        <v>4.0</v>
      </c>
      <c r="J152" s="18" t="s">
        <v>48</v>
      </c>
      <c r="K152" s="10"/>
      <c r="L152" s="18" t="s">
        <v>42</v>
      </c>
      <c r="M152" s="10"/>
      <c r="N152" s="10"/>
      <c r="O152" s="10"/>
      <c r="P152" s="10"/>
      <c r="Q152" s="10"/>
      <c r="R152" s="10"/>
      <c r="S152" s="10"/>
      <c r="T152" s="10"/>
      <c r="U152" s="10"/>
    </row>
    <row r="153" ht="15.75" customHeight="1">
      <c r="A153" s="8" t="s">
        <v>2073</v>
      </c>
      <c r="B153" s="8" t="s">
        <v>2074</v>
      </c>
      <c r="C153" s="8" t="s">
        <v>123</v>
      </c>
      <c r="D153" s="15">
        <v>1639.0</v>
      </c>
      <c r="E153" s="8" t="s">
        <v>1791</v>
      </c>
      <c r="F153" s="16" t="str">
        <f>HYPERLINK("https://youtu.be/h1vqc-37k_8","watch")</f>
        <v>watch</v>
      </c>
      <c r="G153" s="17" t="s">
        <v>1769</v>
      </c>
      <c r="H153" s="18" t="s">
        <v>25</v>
      </c>
      <c r="I153" s="18">
        <v>1.0</v>
      </c>
      <c r="J153" s="18" t="s">
        <v>28</v>
      </c>
      <c r="K153" s="18" t="s">
        <v>2077</v>
      </c>
      <c r="L153" s="18" t="s">
        <v>42</v>
      </c>
      <c r="M153" s="10"/>
      <c r="N153" s="10"/>
      <c r="O153" s="10"/>
      <c r="P153" s="10"/>
      <c r="Q153" s="10"/>
      <c r="R153" s="10"/>
      <c r="S153" s="10"/>
      <c r="T153" s="10"/>
      <c r="U153" s="10"/>
    </row>
    <row r="154" ht="15.75" customHeight="1">
      <c r="A154" s="8" t="s">
        <v>2078</v>
      </c>
      <c r="B154" s="8" t="s">
        <v>2079</v>
      </c>
      <c r="C154" s="8" t="s">
        <v>123</v>
      </c>
      <c r="D154" s="15">
        <v>1065.0</v>
      </c>
      <c r="E154" s="8" t="s">
        <v>535</v>
      </c>
      <c r="F154" s="16" t="str">
        <f>HYPERLINK("https://youtu.be/JM8wHAH8FEw","watch")</f>
        <v>watch</v>
      </c>
      <c r="G154" s="17" t="s">
        <v>1763</v>
      </c>
      <c r="H154" s="18" t="s">
        <v>25</v>
      </c>
      <c r="I154" s="18">
        <v>2.0</v>
      </c>
      <c r="J154" s="18" t="s">
        <v>28</v>
      </c>
      <c r="K154" s="18" t="s">
        <v>1874</v>
      </c>
      <c r="L154" s="18" t="s">
        <v>42</v>
      </c>
      <c r="M154" s="10"/>
      <c r="N154" s="10"/>
      <c r="O154" s="10"/>
      <c r="P154" s="10"/>
      <c r="Q154" s="10"/>
      <c r="R154" s="10"/>
      <c r="S154" s="10"/>
      <c r="T154" s="10"/>
      <c r="U154" s="10"/>
    </row>
    <row r="155" ht="15.75" customHeight="1">
      <c r="A155" s="8" t="s">
        <v>2082</v>
      </c>
      <c r="B155" s="8" t="s">
        <v>2083</v>
      </c>
      <c r="C155" s="8" t="s">
        <v>2084</v>
      </c>
      <c r="D155" s="15">
        <v>968.0</v>
      </c>
      <c r="E155" s="8" t="s">
        <v>757</v>
      </c>
      <c r="F155" s="16" t="str">
        <f>HYPERLINK("https://youtu.be/t_okfWNQ4BQ","watch")</f>
        <v>watch</v>
      </c>
      <c r="G155" s="17" t="s">
        <v>2085</v>
      </c>
      <c r="H155" s="18" t="s">
        <v>301</v>
      </c>
      <c r="I155" s="18">
        <v>5.0</v>
      </c>
      <c r="J155" s="10" t="s">
        <v>28</v>
      </c>
      <c r="K155" s="18" t="s">
        <v>2086</v>
      </c>
      <c r="L155" s="18" t="s">
        <v>199</v>
      </c>
      <c r="M155" s="10"/>
      <c r="N155" s="10"/>
      <c r="O155" s="10"/>
      <c r="P155" s="10"/>
      <c r="Q155" s="10"/>
      <c r="R155" s="10"/>
      <c r="S155" s="10"/>
      <c r="T155" s="10"/>
      <c r="U155" s="10"/>
    </row>
    <row r="156" ht="15.75" customHeight="1">
      <c r="A156" s="8" t="s">
        <v>2090</v>
      </c>
      <c r="B156" s="8" t="s">
        <v>2091</v>
      </c>
      <c r="C156" s="8" t="s">
        <v>2084</v>
      </c>
      <c r="D156" s="15">
        <v>1005.0</v>
      </c>
      <c r="E156" s="8" t="s">
        <v>358</v>
      </c>
      <c r="F156" s="16" t="str">
        <f>HYPERLINK("https://youtu.be/1dkor9FBy7s","watch")</f>
        <v>watch</v>
      </c>
      <c r="G156" s="17" t="s">
        <v>2092</v>
      </c>
      <c r="H156" s="18" t="s">
        <v>301</v>
      </c>
      <c r="I156" s="18">
        <v>8.0</v>
      </c>
      <c r="J156" s="18" t="s">
        <v>48</v>
      </c>
      <c r="K156" s="10"/>
      <c r="L156" s="18" t="s">
        <v>1807</v>
      </c>
      <c r="M156" s="10"/>
      <c r="N156" s="10"/>
      <c r="O156" s="10"/>
      <c r="P156" s="10"/>
      <c r="Q156" s="10"/>
      <c r="R156" s="10"/>
      <c r="S156" s="10"/>
      <c r="T156" s="10"/>
      <c r="U156" s="10"/>
    </row>
    <row r="157" ht="15.75" customHeight="1">
      <c r="A157" s="8" t="s">
        <v>2094</v>
      </c>
      <c r="B157" s="8" t="s">
        <v>2095</v>
      </c>
      <c r="C157" s="8" t="s">
        <v>2096</v>
      </c>
      <c r="D157" s="15">
        <v>1098.0</v>
      </c>
      <c r="E157" s="8" t="s">
        <v>535</v>
      </c>
      <c r="F157" s="16" t="str">
        <f>HYPERLINK("https://youtu.be/FlMsxjakWcs","watch")</f>
        <v>watch</v>
      </c>
      <c r="G157" s="17" t="s">
        <v>2097</v>
      </c>
      <c r="H157" s="18" t="s">
        <v>43</v>
      </c>
      <c r="I157" s="18">
        <v>5.0</v>
      </c>
      <c r="J157" s="18" t="s">
        <v>48</v>
      </c>
      <c r="K157" s="10"/>
      <c r="L157" s="18" t="s">
        <v>2039</v>
      </c>
      <c r="M157" s="10"/>
      <c r="N157" s="10"/>
      <c r="O157" s="10"/>
      <c r="P157" s="10"/>
      <c r="Q157" s="10"/>
      <c r="R157" s="10"/>
      <c r="S157" s="10"/>
      <c r="T157" s="10"/>
      <c r="U157" s="10"/>
    </row>
    <row r="158" ht="15.75" customHeight="1">
      <c r="A158" s="8" t="s">
        <v>2098</v>
      </c>
      <c r="B158" s="8" t="s">
        <v>2099</v>
      </c>
      <c r="C158" s="8" t="s">
        <v>2096</v>
      </c>
      <c r="D158" s="15">
        <v>964.0</v>
      </c>
      <c r="E158" s="8" t="s">
        <v>757</v>
      </c>
      <c r="F158" s="16" t="str">
        <f>HYPERLINK("https://youtu.be/1zqH_hRYFvo","watch")</f>
        <v>watch</v>
      </c>
      <c r="G158" s="17" t="s">
        <v>2100</v>
      </c>
      <c r="H158" s="18" t="s">
        <v>25</v>
      </c>
      <c r="I158" s="18">
        <v>10.0</v>
      </c>
      <c r="J158" s="10" t="s">
        <v>28</v>
      </c>
      <c r="K158" s="18" t="s">
        <v>2101</v>
      </c>
      <c r="L158" s="18" t="s">
        <v>161</v>
      </c>
      <c r="M158" s="10"/>
      <c r="N158" s="10"/>
      <c r="O158" s="10"/>
      <c r="P158" s="10"/>
      <c r="Q158" s="10"/>
      <c r="R158" s="10"/>
      <c r="S158" s="10"/>
      <c r="T158" s="10"/>
      <c r="U158" s="10"/>
    </row>
    <row r="159" ht="15.75" customHeight="1">
      <c r="A159" s="8" t="s">
        <v>2102</v>
      </c>
      <c r="B159" s="8" t="s">
        <v>2103</v>
      </c>
      <c r="C159" s="8" t="s">
        <v>2104</v>
      </c>
      <c r="D159" s="15">
        <v>419.0</v>
      </c>
      <c r="E159" s="8" t="s">
        <v>1586</v>
      </c>
      <c r="F159" s="16" t="str">
        <f>HYPERLINK("https://youtu.be/yJujjKbIVFg","watch")</f>
        <v>watch</v>
      </c>
      <c r="G159" s="10"/>
      <c r="H159" s="18" t="s">
        <v>1780</v>
      </c>
      <c r="I159" s="10"/>
      <c r="J159" s="18" t="s">
        <v>28</v>
      </c>
      <c r="K159" s="18" t="s">
        <v>2105</v>
      </c>
      <c r="L159" s="18" t="s">
        <v>2106</v>
      </c>
      <c r="M159" s="10"/>
      <c r="N159" s="10"/>
      <c r="O159" s="10"/>
      <c r="P159" s="10"/>
      <c r="Q159" s="10"/>
      <c r="R159" s="10"/>
      <c r="S159" s="10"/>
      <c r="T159" s="10"/>
      <c r="U159" s="10"/>
    </row>
    <row r="160" ht="15.75" customHeight="1">
      <c r="A160" s="8" t="s">
        <v>2107</v>
      </c>
      <c r="B160" s="8" t="s">
        <v>2108</v>
      </c>
      <c r="C160" s="8" t="s">
        <v>2104</v>
      </c>
      <c r="D160" s="15">
        <v>1146.0</v>
      </c>
      <c r="E160" s="8" t="s">
        <v>492</v>
      </c>
      <c r="F160" s="16" t="str">
        <f>HYPERLINK("https://youtu.be/vZT6BI7EcQM","watch")</f>
        <v>watch</v>
      </c>
      <c r="G160" s="17" t="s">
        <v>1647</v>
      </c>
      <c r="H160" s="18" t="s">
        <v>301</v>
      </c>
      <c r="I160" s="18">
        <v>7.0</v>
      </c>
      <c r="J160" s="18" t="s">
        <v>28</v>
      </c>
      <c r="K160" s="18" t="s">
        <v>1837</v>
      </c>
      <c r="L160" s="18" t="s">
        <v>64</v>
      </c>
      <c r="M160" s="10"/>
      <c r="N160" s="10"/>
      <c r="O160" s="10"/>
      <c r="P160" s="10"/>
      <c r="Q160" s="10"/>
      <c r="R160" s="10"/>
      <c r="S160" s="10"/>
      <c r="T160" s="10"/>
      <c r="U160" s="10"/>
    </row>
    <row r="161" ht="15.75" customHeight="1">
      <c r="A161" s="8" t="s">
        <v>2109</v>
      </c>
      <c r="B161" s="8" t="s">
        <v>2110</v>
      </c>
      <c r="C161" s="8" t="s">
        <v>2111</v>
      </c>
      <c r="D161" s="15">
        <v>233.0</v>
      </c>
      <c r="E161" s="8" t="s">
        <v>685</v>
      </c>
      <c r="F161" s="16" t="str">
        <f>HYPERLINK("https://youtu.be/lo_VtHulsWc","watch")</f>
        <v>watch</v>
      </c>
      <c r="G161" s="17" t="s">
        <v>2112</v>
      </c>
      <c r="H161" s="18" t="s">
        <v>25</v>
      </c>
      <c r="I161" s="18">
        <v>9.0</v>
      </c>
      <c r="J161" s="18" t="s">
        <v>48</v>
      </c>
      <c r="K161" s="10"/>
      <c r="L161" s="18" t="s">
        <v>161</v>
      </c>
      <c r="M161" s="10"/>
      <c r="N161" s="10"/>
      <c r="O161" s="10"/>
      <c r="P161" s="10"/>
      <c r="Q161" s="10"/>
      <c r="R161" s="10"/>
      <c r="S161" s="10"/>
      <c r="T161" s="10"/>
      <c r="U161" s="10"/>
    </row>
    <row r="162" ht="15.75" customHeight="1">
      <c r="A162" s="8" t="s">
        <v>2113</v>
      </c>
      <c r="B162" s="8" t="s">
        <v>2114</v>
      </c>
      <c r="C162" s="8" t="s">
        <v>2111</v>
      </c>
      <c r="D162" s="15">
        <v>931.0</v>
      </c>
      <c r="E162" s="8" t="s">
        <v>409</v>
      </c>
      <c r="F162" s="16" t="str">
        <f>HYPERLINK("https://youtu.be/VjhleCTxCDA","watch")</f>
        <v>watch</v>
      </c>
      <c r="G162" s="17" t="s">
        <v>2115</v>
      </c>
      <c r="H162" s="18" t="s">
        <v>301</v>
      </c>
      <c r="I162" s="18">
        <v>4.0</v>
      </c>
      <c r="J162" s="10" t="s">
        <v>28</v>
      </c>
      <c r="K162" s="18" t="s">
        <v>2116</v>
      </c>
      <c r="L162" s="18" t="s">
        <v>199</v>
      </c>
      <c r="M162" s="18" t="s">
        <v>28</v>
      </c>
      <c r="N162" s="10"/>
      <c r="O162" s="10"/>
      <c r="P162" s="10"/>
      <c r="Q162" s="10"/>
      <c r="R162" s="10"/>
      <c r="S162" s="10"/>
      <c r="T162" s="10"/>
      <c r="U162" s="10"/>
    </row>
    <row r="163" ht="15.75" customHeight="1">
      <c r="A163" s="8" t="s">
        <v>2117</v>
      </c>
      <c r="B163" s="8" t="s">
        <v>2118</v>
      </c>
      <c r="C163" s="8" t="s">
        <v>2119</v>
      </c>
      <c r="D163" s="15">
        <v>1011.0</v>
      </c>
      <c r="E163" s="8" t="s">
        <v>492</v>
      </c>
      <c r="F163" s="16" t="str">
        <f>HYPERLINK("https://youtu.be/uIAcSD4quE8","watch")</f>
        <v>watch</v>
      </c>
      <c r="G163" s="17" t="s">
        <v>2120</v>
      </c>
      <c r="H163" s="18" t="s">
        <v>301</v>
      </c>
      <c r="I163" s="18">
        <v>6.0</v>
      </c>
      <c r="J163" s="18" t="s">
        <v>48</v>
      </c>
      <c r="K163" s="10"/>
      <c r="L163" s="18" t="s">
        <v>64</v>
      </c>
      <c r="M163" s="10"/>
      <c r="N163" s="10"/>
      <c r="O163" s="10"/>
      <c r="P163" s="10"/>
      <c r="Q163" s="10"/>
      <c r="R163" s="10"/>
      <c r="S163" s="10"/>
      <c r="T163" s="10"/>
      <c r="U163" s="10"/>
    </row>
    <row r="164" ht="15.75" customHeight="1">
      <c r="A164" s="8" t="s">
        <v>2121</v>
      </c>
      <c r="B164" s="8" t="s">
        <v>2122</v>
      </c>
      <c r="C164" s="8" t="s">
        <v>2119</v>
      </c>
      <c r="D164" s="15">
        <v>1039.0</v>
      </c>
      <c r="E164" s="8" t="s">
        <v>358</v>
      </c>
      <c r="F164" s="16" t="str">
        <f>HYPERLINK("https://youtu.be/76YEF7mdqvk","watch")</f>
        <v>watch</v>
      </c>
      <c r="G164" s="17" t="s">
        <v>2123</v>
      </c>
      <c r="H164" s="18" t="s">
        <v>43</v>
      </c>
      <c r="I164" s="18">
        <v>4.0</v>
      </c>
      <c r="J164" s="18" t="s">
        <v>28</v>
      </c>
      <c r="K164" s="18" t="s">
        <v>2124</v>
      </c>
      <c r="L164" s="18" t="s">
        <v>2039</v>
      </c>
      <c r="M164" s="10"/>
      <c r="N164" s="10"/>
      <c r="O164" s="10"/>
      <c r="P164" s="10"/>
      <c r="Q164" s="10"/>
      <c r="R164" s="10"/>
      <c r="S164" s="10"/>
      <c r="T164" s="10"/>
      <c r="U164" s="10"/>
    </row>
    <row r="165" ht="15.75" customHeight="1">
      <c r="A165" s="8" t="s">
        <v>2125</v>
      </c>
      <c r="B165" s="8" t="s">
        <v>2126</v>
      </c>
      <c r="C165" s="8" t="s">
        <v>2127</v>
      </c>
      <c r="D165" s="15">
        <v>1015.0</v>
      </c>
      <c r="E165" s="8" t="s">
        <v>358</v>
      </c>
      <c r="F165" s="16" t="str">
        <f>HYPERLINK("https://youtu.be/5FJZOamuxs8","watch")</f>
        <v>watch</v>
      </c>
      <c r="G165" s="17" t="s">
        <v>2128</v>
      </c>
      <c r="H165" s="18" t="s">
        <v>301</v>
      </c>
      <c r="I165" s="18">
        <v>3.0</v>
      </c>
      <c r="J165" s="18" t="s">
        <v>48</v>
      </c>
      <c r="K165" s="10"/>
      <c r="L165" s="18" t="s">
        <v>199</v>
      </c>
      <c r="M165" s="10"/>
      <c r="N165" s="10"/>
      <c r="O165" s="10"/>
      <c r="P165" s="10"/>
      <c r="Q165" s="10"/>
      <c r="R165" s="10"/>
      <c r="S165" s="10"/>
      <c r="T165" s="10"/>
      <c r="U165" s="10"/>
    </row>
    <row r="166" ht="15.75" customHeight="1">
      <c r="A166" s="8" t="s">
        <v>2129</v>
      </c>
      <c r="B166" s="8" t="s">
        <v>2130</v>
      </c>
      <c r="C166" s="8" t="s">
        <v>2127</v>
      </c>
      <c r="D166" s="15">
        <v>933.0</v>
      </c>
      <c r="E166" s="8" t="s">
        <v>2131</v>
      </c>
      <c r="F166" s="16" t="str">
        <f>HYPERLINK("https://youtu.be/auKzs0g2LL8","watch")</f>
        <v>watch</v>
      </c>
      <c r="G166" s="10"/>
      <c r="H166" s="18" t="s">
        <v>1780</v>
      </c>
      <c r="I166" s="10"/>
      <c r="J166" s="18" t="s">
        <v>28</v>
      </c>
      <c r="K166" s="18" t="s">
        <v>2132</v>
      </c>
      <c r="L166" s="18" t="s">
        <v>2133</v>
      </c>
      <c r="M166" s="10"/>
      <c r="N166" s="10"/>
      <c r="O166" s="10"/>
      <c r="P166" s="10"/>
      <c r="Q166" s="10"/>
      <c r="R166" s="10"/>
      <c r="S166" s="10"/>
      <c r="T166" s="10"/>
      <c r="U166" s="10"/>
    </row>
    <row r="167" ht="15.75" customHeight="1">
      <c r="A167" s="8" t="s">
        <v>2134</v>
      </c>
      <c r="B167" s="8" t="s">
        <v>2135</v>
      </c>
      <c r="C167" s="8" t="s">
        <v>2136</v>
      </c>
      <c r="D167" s="15">
        <v>507.0</v>
      </c>
      <c r="E167" s="8" t="s">
        <v>1013</v>
      </c>
      <c r="F167" s="16" t="str">
        <f>HYPERLINK("https://youtu.be/8d2a5b_BmYQ","watch")</f>
        <v>watch</v>
      </c>
      <c r="G167" s="17" t="s">
        <v>2137</v>
      </c>
      <c r="H167" s="18" t="s">
        <v>43</v>
      </c>
      <c r="I167" s="18">
        <v>6.0</v>
      </c>
      <c r="J167" s="18" t="s">
        <v>28</v>
      </c>
      <c r="K167" s="18" t="s">
        <v>2138</v>
      </c>
      <c r="L167" s="18" t="s">
        <v>81</v>
      </c>
      <c r="M167" s="10"/>
      <c r="N167" s="10"/>
      <c r="O167" s="10"/>
      <c r="P167" s="10"/>
      <c r="Q167" s="10"/>
      <c r="R167" s="10"/>
      <c r="S167" s="10"/>
      <c r="T167" s="10"/>
      <c r="U167" s="10"/>
    </row>
    <row r="168" ht="15.75" customHeight="1">
      <c r="A168" s="8" t="s">
        <v>2139</v>
      </c>
      <c r="B168" s="8" t="s">
        <v>2140</v>
      </c>
      <c r="C168" s="8" t="s">
        <v>2136</v>
      </c>
      <c r="D168" s="15">
        <v>1288.0</v>
      </c>
      <c r="E168" s="8" t="s">
        <v>1791</v>
      </c>
      <c r="F168" s="16" t="str">
        <f>HYPERLINK("https://youtu.be/484NOQA1r8Q","watch")</f>
        <v>watch</v>
      </c>
      <c r="G168" s="17" t="s">
        <v>2141</v>
      </c>
      <c r="H168" s="18" t="s">
        <v>25</v>
      </c>
      <c r="I168" s="18">
        <v>8.0</v>
      </c>
      <c r="J168" s="18" t="s">
        <v>48</v>
      </c>
      <c r="K168" s="10"/>
      <c r="L168" s="18" t="s">
        <v>161</v>
      </c>
      <c r="M168" s="10"/>
      <c r="N168" s="10"/>
      <c r="O168" s="10"/>
      <c r="P168" s="10"/>
      <c r="Q168" s="10"/>
      <c r="R168" s="10"/>
      <c r="S168" s="10"/>
      <c r="T168" s="10"/>
      <c r="U168" s="10"/>
    </row>
    <row r="169" ht="15.75" customHeight="1">
      <c r="A169" s="8" t="s">
        <v>2142</v>
      </c>
      <c r="B169" s="8" t="s">
        <v>2143</v>
      </c>
      <c r="C169" s="8" t="s">
        <v>2144</v>
      </c>
      <c r="D169" s="15">
        <v>800.0</v>
      </c>
      <c r="E169" s="8" t="s">
        <v>685</v>
      </c>
      <c r="F169" s="16" t="str">
        <f>HYPERLINK("https://youtu.be/2OFpV33VzpU","watch")</f>
        <v>watch</v>
      </c>
      <c r="G169" s="17" t="s">
        <v>2145</v>
      </c>
      <c r="H169" s="18" t="s">
        <v>301</v>
      </c>
      <c r="I169" s="18">
        <v>5.0</v>
      </c>
      <c r="J169" s="18" t="s">
        <v>48</v>
      </c>
      <c r="K169" s="10"/>
      <c r="L169" s="18" t="s">
        <v>64</v>
      </c>
      <c r="M169" s="10"/>
      <c r="N169" s="10"/>
      <c r="O169" s="10"/>
      <c r="P169" s="10"/>
      <c r="Q169" s="10"/>
      <c r="R169" s="10"/>
      <c r="S169" s="10"/>
      <c r="T169" s="10"/>
      <c r="U169" s="10"/>
    </row>
    <row r="170" ht="15.75" customHeight="1">
      <c r="A170" s="8" t="s">
        <v>2146</v>
      </c>
      <c r="B170" s="8" t="s">
        <v>2147</v>
      </c>
      <c r="C170" s="8" t="s">
        <v>2144</v>
      </c>
      <c r="D170" s="15">
        <v>924.0</v>
      </c>
      <c r="E170" s="8" t="s">
        <v>358</v>
      </c>
      <c r="F170" s="16" t="str">
        <f>HYPERLINK("https://youtu.be/uGRqBM2AOag","watch")</f>
        <v>watch</v>
      </c>
      <c r="G170" s="17" t="s">
        <v>2148</v>
      </c>
      <c r="H170" s="18" t="s">
        <v>43</v>
      </c>
      <c r="I170" s="18">
        <v>3.0</v>
      </c>
      <c r="J170" s="18" t="s">
        <v>28</v>
      </c>
      <c r="K170" s="18" t="s">
        <v>2149</v>
      </c>
      <c r="L170" s="18" t="s">
        <v>2039</v>
      </c>
      <c r="M170" s="10"/>
      <c r="N170" s="10"/>
      <c r="O170" s="10"/>
      <c r="P170" s="10"/>
      <c r="Q170" s="10"/>
      <c r="R170" s="10"/>
      <c r="S170" s="10"/>
      <c r="T170" s="10"/>
      <c r="U170" s="10"/>
    </row>
    <row r="171" ht="15.75" customHeight="1">
      <c r="A171" s="8" t="s">
        <v>2150</v>
      </c>
      <c r="B171" s="8" t="s">
        <v>2151</v>
      </c>
      <c r="C171" s="8" t="s">
        <v>2152</v>
      </c>
      <c r="D171" s="15">
        <v>1044.0</v>
      </c>
      <c r="E171" s="8" t="s">
        <v>735</v>
      </c>
      <c r="F171" s="16" t="str">
        <f>HYPERLINK("https://youtu.be/LFpa9K2DA6Q","watch")</f>
        <v>watch</v>
      </c>
      <c r="G171" s="17" t="s">
        <v>2153</v>
      </c>
      <c r="H171" s="18" t="s">
        <v>301</v>
      </c>
      <c r="I171" s="18">
        <v>2.0</v>
      </c>
      <c r="J171" s="10" t="s">
        <v>28</v>
      </c>
      <c r="K171" s="18" t="s">
        <v>2154</v>
      </c>
      <c r="L171" s="18" t="s">
        <v>199</v>
      </c>
      <c r="M171" s="10"/>
      <c r="N171" s="10"/>
      <c r="O171" s="10"/>
      <c r="P171" s="10"/>
      <c r="Q171" s="10"/>
      <c r="R171" s="10"/>
      <c r="S171" s="10"/>
      <c r="T171" s="10"/>
      <c r="U171" s="10"/>
    </row>
    <row r="172" ht="15.75" customHeight="1">
      <c r="A172" s="8" t="s">
        <v>2155</v>
      </c>
      <c r="B172" s="8" t="s">
        <v>2156</v>
      </c>
      <c r="C172" s="8" t="s">
        <v>2152</v>
      </c>
      <c r="D172" s="15">
        <v>603.0</v>
      </c>
      <c r="E172" s="8" t="s">
        <v>2158</v>
      </c>
      <c r="F172" s="16" t="str">
        <f>HYPERLINK("https://youtu.be/bh8OGK_jE2Y","watch")</f>
        <v>watch</v>
      </c>
      <c r="G172" s="10"/>
      <c r="H172" s="18" t="s">
        <v>1780</v>
      </c>
      <c r="I172" s="10"/>
      <c r="J172" s="18" t="s">
        <v>1935</v>
      </c>
      <c r="K172" s="18" t="s">
        <v>2160</v>
      </c>
      <c r="L172" s="18" t="s">
        <v>2106</v>
      </c>
      <c r="M172" s="10"/>
      <c r="N172" s="10"/>
      <c r="O172" s="10"/>
      <c r="P172" s="10"/>
      <c r="Q172" s="10"/>
      <c r="R172" s="10"/>
      <c r="S172" s="10"/>
      <c r="T172" s="10"/>
      <c r="U172" s="10"/>
    </row>
    <row r="173" ht="15.75" customHeight="1">
      <c r="A173" s="8" t="s">
        <v>2161</v>
      </c>
      <c r="B173" s="8" t="s">
        <v>2162</v>
      </c>
      <c r="C173" s="8" t="s">
        <v>2163</v>
      </c>
      <c r="D173" s="15">
        <v>1236.0</v>
      </c>
      <c r="E173" s="8" t="s">
        <v>492</v>
      </c>
      <c r="F173" s="16" t="str">
        <f>HYPERLINK("https://youtu.be/PPEKxxW-s_g","watch")</f>
        <v>watch</v>
      </c>
      <c r="G173" s="17" t="s">
        <v>2164</v>
      </c>
      <c r="H173" s="18" t="s">
        <v>43</v>
      </c>
      <c r="I173" s="18">
        <v>5.0</v>
      </c>
      <c r="J173" s="18" t="s">
        <v>48</v>
      </c>
      <c r="K173" s="10"/>
      <c r="L173" s="18" t="s">
        <v>81</v>
      </c>
      <c r="M173" s="10"/>
      <c r="N173" s="10"/>
      <c r="O173" s="10"/>
      <c r="P173" s="10"/>
      <c r="Q173" s="10"/>
      <c r="R173" s="10"/>
      <c r="S173" s="10"/>
      <c r="T173" s="10"/>
      <c r="U173" s="10"/>
    </row>
    <row r="174" ht="15.75" customHeight="1">
      <c r="A174" s="8" t="s">
        <v>2165</v>
      </c>
      <c r="B174" s="8" t="s">
        <v>2166</v>
      </c>
      <c r="C174" s="8" t="s">
        <v>2163</v>
      </c>
      <c r="D174" s="15">
        <v>826.0</v>
      </c>
      <c r="E174" s="8" t="s">
        <v>535</v>
      </c>
      <c r="F174" s="16" t="str">
        <f>HYPERLINK("https://youtu.be/gq4wUMrTrB0","watch")</f>
        <v>watch</v>
      </c>
      <c r="G174" s="17" t="s">
        <v>2167</v>
      </c>
      <c r="H174" s="18" t="s">
        <v>25</v>
      </c>
      <c r="I174" s="18">
        <v>7.0</v>
      </c>
      <c r="J174" s="10" t="s">
        <v>28</v>
      </c>
      <c r="K174" s="18" t="s">
        <v>2168</v>
      </c>
      <c r="L174" s="18" t="s">
        <v>161</v>
      </c>
      <c r="M174" s="10"/>
      <c r="N174" s="10"/>
      <c r="O174" s="10"/>
      <c r="P174" s="10"/>
      <c r="Q174" s="10"/>
      <c r="R174" s="10"/>
      <c r="S174" s="10"/>
      <c r="T174" s="10"/>
      <c r="U174" s="10"/>
    </row>
    <row r="175" ht="15.75" customHeight="1">
      <c r="A175" s="8" t="s">
        <v>2169</v>
      </c>
      <c r="B175" s="8" t="s">
        <v>2170</v>
      </c>
      <c r="C175" s="8" t="s">
        <v>2171</v>
      </c>
      <c r="D175" s="15">
        <v>373.0</v>
      </c>
      <c r="E175" s="8" t="s">
        <v>757</v>
      </c>
      <c r="F175" s="16" t="str">
        <f>HYPERLINK("https://youtu.be/uyiszkVXiUQ","watch")</f>
        <v>watch</v>
      </c>
      <c r="G175" s="17" t="s">
        <v>2172</v>
      </c>
      <c r="H175" s="18" t="s">
        <v>301</v>
      </c>
      <c r="I175" s="18">
        <v>4.0</v>
      </c>
      <c r="J175" s="18" t="s">
        <v>28</v>
      </c>
      <c r="K175" s="18" t="s">
        <v>1799</v>
      </c>
      <c r="L175" s="18" t="s">
        <v>64</v>
      </c>
      <c r="M175" s="10"/>
      <c r="N175" s="10"/>
      <c r="O175" s="10"/>
      <c r="P175" s="10"/>
      <c r="Q175" s="10"/>
      <c r="R175" s="10"/>
      <c r="S175" s="10"/>
      <c r="T175" s="10"/>
      <c r="U175" s="10"/>
    </row>
    <row r="176" ht="15.75" customHeight="1">
      <c r="A176" s="8" t="s">
        <v>2173</v>
      </c>
      <c r="B176" s="8" t="s">
        <v>2174</v>
      </c>
      <c r="C176" s="8" t="s">
        <v>2171</v>
      </c>
      <c r="D176" s="15">
        <v>96.0</v>
      </c>
      <c r="E176" s="8" t="s">
        <v>2175</v>
      </c>
      <c r="F176" s="16" t="str">
        <f>HYPERLINK("https://youtu.be/OMpbKBu38rk","watch")</f>
        <v>watch</v>
      </c>
      <c r="G176" s="10"/>
      <c r="H176" s="18" t="s">
        <v>1780</v>
      </c>
      <c r="I176" s="10"/>
      <c r="J176" s="18" t="s">
        <v>48</v>
      </c>
      <c r="K176" s="10"/>
      <c r="L176" s="18" t="s">
        <v>2133</v>
      </c>
      <c r="M176" s="10"/>
      <c r="N176" s="10"/>
      <c r="O176" s="10"/>
      <c r="P176" s="10"/>
      <c r="Q176" s="10"/>
      <c r="R176" s="10"/>
      <c r="S176" s="10"/>
      <c r="T176" s="10"/>
      <c r="U176" s="10"/>
    </row>
    <row r="177" ht="15.75" customHeight="1">
      <c r="A177" s="8" t="s">
        <v>2176</v>
      </c>
      <c r="B177" s="8" t="s">
        <v>2177</v>
      </c>
      <c r="C177" s="8" t="s">
        <v>2171</v>
      </c>
      <c r="D177" s="15">
        <v>433.0</v>
      </c>
      <c r="E177" s="8" t="s">
        <v>535</v>
      </c>
      <c r="F177" s="16" t="str">
        <f>HYPERLINK("https://youtu.be/YqaeisWumvQ","watch")</f>
        <v>watch</v>
      </c>
      <c r="G177" s="17" t="s">
        <v>2178</v>
      </c>
      <c r="H177" s="18" t="s">
        <v>43</v>
      </c>
      <c r="I177" s="18">
        <v>2.0</v>
      </c>
      <c r="J177" s="18" t="s">
        <v>48</v>
      </c>
      <c r="K177" s="10"/>
      <c r="L177" s="18" t="s">
        <v>2039</v>
      </c>
      <c r="M177" s="10"/>
      <c r="N177" s="10"/>
      <c r="O177" s="10"/>
      <c r="P177" s="10"/>
      <c r="Q177" s="10"/>
      <c r="R177" s="10"/>
      <c r="S177" s="10"/>
      <c r="T177" s="10"/>
      <c r="U177" s="10"/>
    </row>
    <row r="178" ht="15.75" customHeight="1">
      <c r="A178" s="8" t="s">
        <v>2179</v>
      </c>
      <c r="B178" s="8" t="s">
        <v>2180</v>
      </c>
      <c r="C178" s="8" t="s">
        <v>2181</v>
      </c>
      <c r="D178" s="15">
        <v>924.0</v>
      </c>
      <c r="E178" s="8" t="s">
        <v>987</v>
      </c>
      <c r="F178" s="16" t="str">
        <f>HYPERLINK("https://youtu.be/GK_IadR7G1g","watch")</f>
        <v>watch</v>
      </c>
      <c r="G178" s="17" t="s">
        <v>2182</v>
      </c>
      <c r="H178" s="18" t="s">
        <v>25</v>
      </c>
      <c r="I178" s="18">
        <v>6.0</v>
      </c>
      <c r="J178" s="10" t="s">
        <v>28</v>
      </c>
      <c r="K178" s="18" t="s">
        <v>2183</v>
      </c>
      <c r="L178" s="18" t="s">
        <v>161</v>
      </c>
      <c r="M178" s="18" t="s">
        <v>28</v>
      </c>
      <c r="N178" s="10"/>
      <c r="O178" s="10"/>
      <c r="P178" s="10"/>
      <c r="Q178" s="10"/>
      <c r="R178" s="10"/>
      <c r="S178" s="10"/>
      <c r="T178" s="10"/>
      <c r="U178" s="10"/>
    </row>
    <row r="179" ht="15.75" customHeight="1">
      <c r="A179" s="8" t="s">
        <v>2184</v>
      </c>
      <c r="B179" s="8" t="s">
        <v>2185</v>
      </c>
      <c r="C179" s="8" t="s">
        <v>2181</v>
      </c>
      <c r="D179" s="15">
        <v>1259.0</v>
      </c>
      <c r="E179" s="8" t="s">
        <v>358</v>
      </c>
      <c r="F179" s="16" t="str">
        <f>HYPERLINK("https://youtu.be/hCI0HSfly1c","watch")</f>
        <v>watch</v>
      </c>
      <c r="G179" s="17" t="s">
        <v>2186</v>
      </c>
      <c r="H179" s="18" t="s">
        <v>301</v>
      </c>
      <c r="I179" s="18">
        <v>1.0</v>
      </c>
      <c r="J179" s="18" t="s">
        <v>48</v>
      </c>
      <c r="K179" s="10"/>
      <c r="L179" s="18" t="s">
        <v>199</v>
      </c>
      <c r="M179" s="10"/>
      <c r="N179" s="10"/>
      <c r="O179" s="10"/>
      <c r="P179" s="10"/>
      <c r="Q179" s="10"/>
      <c r="R179" s="10"/>
      <c r="S179" s="10"/>
      <c r="T179" s="10"/>
      <c r="U179" s="10"/>
    </row>
    <row r="180" ht="15.75" customHeight="1">
      <c r="A180" s="8" t="s">
        <v>2187</v>
      </c>
      <c r="B180" s="8" t="s">
        <v>2188</v>
      </c>
      <c r="C180" s="8" t="s">
        <v>2189</v>
      </c>
      <c r="D180" s="15">
        <v>155.0</v>
      </c>
      <c r="E180" s="8" t="s">
        <v>358</v>
      </c>
      <c r="F180" s="16" t="str">
        <f>HYPERLINK("https://youtu.be/UqZn1J9vVGc","watch")</f>
        <v>watch</v>
      </c>
      <c r="G180" s="17" t="s">
        <v>2190</v>
      </c>
      <c r="H180" s="18" t="s">
        <v>43</v>
      </c>
      <c r="I180" s="18">
        <v>4.0</v>
      </c>
      <c r="J180" s="18" t="s">
        <v>48</v>
      </c>
      <c r="K180" s="10"/>
      <c r="L180" s="18" t="s">
        <v>81</v>
      </c>
      <c r="M180" s="10"/>
      <c r="N180" s="10"/>
      <c r="O180" s="10"/>
      <c r="P180" s="10"/>
      <c r="Q180" s="10"/>
      <c r="R180" s="10"/>
      <c r="S180" s="10"/>
      <c r="T180" s="10"/>
      <c r="U180" s="10"/>
    </row>
    <row r="181" ht="15.75" customHeight="1">
      <c r="A181" s="8" t="s">
        <v>2191</v>
      </c>
      <c r="B181" s="8" t="s">
        <v>2192</v>
      </c>
      <c r="C181" s="8" t="s">
        <v>2193</v>
      </c>
      <c r="D181" s="15">
        <v>1086.0</v>
      </c>
      <c r="E181" s="8" t="s">
        <v>228</v>
      </c>
      <c r="F181" s="16" t="str">
        <f>HYPERLINK("https://youtu.be/DMJYnQE8shY","watch")</f>
        <v>watch</v>
      </c>
      <c r="G181" s="17" t="s">
        <v>2194</v>
      </c>
      <c r="H181" s="18" t="s">
        <v>301</v>
      </c>
      <c r="I181" s="18">
        <v>3.0</v>
      </c>
      <c r="J181" s="18" t="s">
        <v>28</v>
      </c>
      <c r="K181" s="18" t="s">
        <v>2195</v>
      </c>
      <c r="L181" s="18" t="s">
        <v>64</v>
      </c>
      <c r="M181" s="10"/>
      <c r="N181" s="10"/>
      <c r="O181" s="10"/>
      <c r="P181" s="10"/>
      <c r="Q181" s="10"/>
      <c r="R181" s="10"/>
      <c r="S181" s="10"/>
      <c r="T181" s="10"/>
      <c r="U181" s="10"/>
    </row>
    <row r="182" ht="15.75" customHeight="1">
      <c r="A182" s="8" t="s">
        <v>2196</v>
      </c>
      <c r="B182" s="8" t="s">
        <v>2197</v>
      </c>
      <c r="C182" s="8" t="s">
        <v>2193</v>
      </c>
      <c r="D182" s="15">
        <v>546.0</v>
      </c>
      <c r="E182" s="8" t="s">
        <v>492</v>
      </c>
      <c r="F182" s="16" t="str">
        <f>HYPERLINK("https://youtu.be/C4IPzbJZlHw","watch")</f>
        <v>watch</v>
      </c>
      <c r="G182" s="17" t="s">
        <v>2198</v>
      </c>
      <c r="H182" s="18" t="s">
        <v>43</v>
      </c>
      <c r="I182" s="18">
        <v>1.0</v>
      </c>
      <c r="J182" s="18" t="s">
        <v>48</v>
      </c>
      <c r="K182" s="10"/>
      <c r="L182" s="18" t="s">
        <v>2039</v>
      </c>
      <c r="M182" s="10"/>
      <c r="N182" s="10"/>
      <c r="O182" s="10"/>
      <c r="P182" s="10"/>
      <c r="Q182" s="10"/>
      <c r="R182" s="10"/>
      <c r="S182" s="10"/>
      <c r="T182" s="10"/>
      <c r="U182" s="10"/>
    </row>
    <row r="183" ht="15.75" customHeight="1">
      <c r="A183" s="8" t="s">
        <v>2199</v>
      </c>
      <c r="B183" s="8" t="s">
        <v>2200</v>
      </c>
      <c r="C183" s="8" t="s">
        <v>2201</v>
      </c>
      <c r="D183" s="15">
        <v>749.0</v>
      </c>
      <c r="E183" s="8" t="s">
        <v>735</v>
      </c>
      <c r="F183" s="16" t="str">
        <f>HYPERLINK("https://youtu.be/d0ux4nsMixw","watch")</f>
        <v>watch</v>
      </c>
      <c r="G183" s="17" t="s">
        <v>2120</v>
      </c>
      <c r="H183" s="18" t="s">
        <v>25</v>
      </c>
      <c r="I183" s="18">
        <v>6.0</v>
      </c>
      <c r="J183" s="18" t="s">
        <v>28</v>
      </c>
      <c r="K183" s="18" t="s">
        <v>2202</v>
      </c>
      <c r="L183" s="18" t="s">
        <v>1807</v>
      </c>
      <c r="M183" s="10"/>
      <c r="N183" s="10"/>
      <c r="O183" s="10"/>
      <c r="P183" s="10"/>
      <c r="Q183" s="10"/>
      <c r="R183" s="10"/>
      <c r="S183" s="10"/>
      <c r="T183" s="10"/>
      <c r="U183" s="10"/>
    </row>
    <row r="184" ht="15.75" customHeight="1">
      <c r="A184" s="8" t="s">
        <v>2203</v>
      </c>
      <c r="B184" s="8" t="s">
        <v>2204</v>
      </c>
      <c r="C184" s="8" t="s">
        <v>2201</v>
      </c>
      <c r="D184" s="15">
        <v>1037.0</v>
      </c>
      <c r="E184" s="8" t="s">
        <v>358</v>
      </c>
      <c r="F184" s="16" t="str">
        <f>HYPERLINK("https://youtu.be/Z0s6mRdT_QE","watch")</f>
        <v>watch</v>
      </c>
      <c r="G184" s="17" t="s">
        <v>2205</v>
      </c>
      <c r="H184" s="18" t="s">
        <v>25</v>
      </c>
      <c r="I184" s="18">
        <v>5.0</v>
      </c>
      <c r="J184" s="18" t="s">
        <v>48</v>
      </c>
      <c r="K184" s="10"/>
      <c r="L184" s="18" t="s">
        <v>161</v>
      </c>
      <c r="M184" s="10"/>
      <c r="N184" s="10"/>
      <c r="O184" s="10"/>
      <c r="P184" s="10"/>
      <c r="Q184" s="10"/>
      <c r="R184" s="10"/>
      <c r="S184" s="10"/>
      <c r="T184" s="10"/>
      <c r="U184" s="10"/>
    </row>
    <row r="185" ht="15.75" customHeight="1">
      <c r="A185" s="8" t="s">
        <v>2206</v>
      </c>
      <c r="B185" s="8" t="s">
        <v>2207</v>
      </c>
      <c r="C185" s="8" t="s">
        <v>2201</v>
      </c>
      <c r="D185" s="15">
        <v>483.0</v>
      </c>
      <c r="E185" s="8" t="s">
        <v>228</v>
      </c>
      <c r="F185" s="16" t="str">
        <f>HYPERLINK("https://youtu.be/A38u-diwmvw","watch")</f>
        <v>watch</v>
      </c>
      <c r="G185" s="17" t="s">
        <v>2208</v>
      </c>
      <c r="H185" s="18" t="s">
        <v>25</v>
      </c>
      <c r="I185" s="18">
        <v>7.0</v>
      </c>
      <c r="J185" s="18" t="s">
        <v>48</v>
      </c>
      <c r="K185" s="10"/>
      <c r="L185" s="18" t="s">
        <v>81</v>
      </c>
      <c r="M185" s="10"/>
      <c r="N185" s="10"/>
      <c r="O185" s="10"/>
      <c r="P185" s="10"/>
      <c r="Q185" s="10"/>
      <c r="R185" s="10"/>
      <c r="S185" s="10"/>
      <c r="T185" s="10"/>
      <c r="U185" s="10"/>
    </row>
    <row r="186" ht="15.75" customHeight="1">
      <c r="A186" s="8" t="s">
        <v>2209</v>
      </c>
      <c r="B186" s="8" t="s">
        <v>2210</v>
      </c>
      <c r="C186" s="8" t="s">
        <v>2211</v>
      </c>
      <c r="D186" s="15">
        <v>1017.0</v>
      </c>
      <c r="E186" s="8" t="s">
        <v>735</v>
      </c>
      <c r="F186" s="16" t="str">
        <f>HYPERLINK("https://youtu.be/PvitecaJjAc","watch")</f>
        <v>watch</v>
      </c>
      <c r="G186" s="17" t="s">
        <v>2212</v>
      </c>
      <c r="H186" s="18" t="s">
        <v>43</v>
      </c>
      <c r="I186" s="18">
        <v>3.0</v>
      </c>
      <c r="J186" s="18" t="s">
        <v>1935</v>
      </c>
      <c r="K186" s="10" t="s">
        <v>1673</v>
      </c>
      <c r="L186" s="18" t="s">
        <v>81</v>
      </c>
      <c r="M186" s="10"/>
      <c r="N186" s="10"/>
      <c r="O186" s="10"/>
      <c r="P186" s="10"/>
      <c r="Q186" s="10"/>
      <c r="R186" s="10"/>
      <c r="S186" s="10"/>
      <c r="T186" s="10"/>
      <c r="U186" s="10"/>
    </row>
    <row r="187" ht="15.75" customHeight="1">
      <c r="A187" s="8" t="s">
        <v>2213</v>
      </c>
      <c r="B187" s="8" t="s">
        <v>2214</v>
      </c>
      <c r="C187" s="8" t="s">
        <v>2215</v>
      </c>
      <c r="D187" s="15">
        <v>301.0</v>
      </c>
      <c r="E187" s="8" t="s">
        <v>535</v>
      </c>
      <c r="F187" s="16" t="str">
        <f>HYPERLINK("https://youtu.be/Q09fPPjWf8A","watch")</f>
        <v>watch</v>
      </c>
      <c r="G187" s="17" t="s">
        <v>2216</v>
      </c>
      <c r="H187" s="18" t="s">
        <v>25</v>
      </c>
      <c r="I187" s="18">
        <v>4.0</v>
      </c>
      <c r="J187" s="18" t="s">
        <v>48</v>
      </c>
      <c r="K187" s="10"/>
      <c r="L187" s="18" t="s">
        <v>161</v>
      </c>
      <c r="M187" s="10"/>
      <c r="N187" s="10"/>
      <c r="O187" s="10"/>
      <c r="P187" s="10"/>
      <c r="Q187" s="10"/>
      <c r="R187" s="10"/>
      <c r="S187" s="10"/>
      <c r="T187" s="10"/>
      <c r="U187" s="10"/>
    </row>
    <row r="188" ht="15.75" customHeight="1">
      <c r="A188" s="8" t="s">
        <v>2217</v>
      </c>
      <c r="B188" s="8" t="s">
        <v>2218</v>
      </c>
      <c r="C188" s="8" t="s">
        <v>2215</v>
      </c>
      <c r="D188" s="15">
        <v>542.0</v>
      </c>
      <c r="E188" s="8" t="s">
        <v>358</v>
      </c>
      <c r="F188" s="16" t="str">
        <f>HYPERLINK("https://youtu.be/3gpbmrouFEw","watch")</f>
        <v>watch</v>
      </c>
      <c r="G188" s="17" t="s">
        <v>2219</v>
      </c>
      <c r="H188" s="18" t="s">
        <v>301</v>
      </c>
      <c r="I188" s="18">
        <v>2.0</v>
      </c>
      <c r="J188" s="18" t="s">
        <v>48</v>
      </c>
      <c r="K188" s="10"/>
      <c r="L188" s="18" t="s">
        <v>1807</v>
      </c>
      <c r="M188" s="10"/>
      <c r="N188" s="10"/>
      <c r="O188" s="10"/>
      <c r="P188" s="10"/>
      <c r="Q188" s="10"/>
      <c r="R188" s="10"/>
      <c r="S188" s="10"/>
      <c r="T188" s="10"/>
      <c r="U188" s="10"/>
    </row>
    <row r="189" ht="15.75" customHeight="1">
      <c r="A189" s="8" t="s">
        <v>2220</v>
      </c>
      <c r="B189" s="8" t="s">
        <v>2221</v>
      </c>
      <c r="C189" s="8" t="s">
        <v>2222</v>
      </c>
      <c r="D189" s="15">
        <v>981.0</v>
      </c>
      <c r="E189" s="8" t="s">
        <v>735</v>
      </c>
      <c r="F189" s="16" t="str">
        <f>HYPERLINK("https://youtu.be/YQ2-iIhbOSY","watch")</f>
        <v>watch</v>
      </c>
      <c r="G189" s="17" t="s">
        <v>2223</v>
      </c>
      <c r="H189" s="18" t="s">
        <v>43</v>
      </c>
      <c r="I189" s="18">
        <v>2.0</v>
      </c>
      <c r="J189" s="18" t="s">
        <v>48</v>
      </c>
      <c r="K189" s="10"/>
      <c r="L189" s="18" t="s">
        <v>81</v>
      </c>
      <c r="M189" s="10"/>
      <c r="N189" s="10"/>
      <c r="O189" s="10"/>
      <c r="P189" s="10"/>
      <c r="Q189" s="10"/>
      <c r="R189" s="10"/>
      <c r="S189" s="10"/>
      <c r="T189" s="10"/>
      <c r="U189" s="10"/>
    </row>
    <row r="190" ht="15.75" customHeight="1">
      <c r="A190" s="8" t="s">
        <v>2224</v>
      </c>
      <c r="B190" s="8" t="s">
        <v>2225</v>
      </c>
      <c r="C190" s="8" t="s">
        <v>2222</v>
      </c>
      <c r="D190" s="15">
        <v>496.0</v>
      </c>
      <c r="E190" s="8" t="s">
        <v>735</v>
      </c>
      <c r="F190" s="16" t="str">
        <f>HYPERLINK("https://youtu.be/9UfyaoGCEZ8","watch")</f>
        <v>watch</v>
      </c>
      <c r="G190" s="17" t="s">
        <v>2226</v>
      </c>
      <c r="H190" s="18" t="s">
        <v>25</v>
      </c>
      <c r="I190" s="18">
        <v>11.0</v>
      </c>
      <c r="J190" s="18" t="s">
        <v>48</v>
      </c>
      <c r="K190" s="10"/>
      <c r="L190" s="18" t="s">
        <v>98</v>
      </c>
      <c r="M190" s="10"/>
      <c r="N190" s="10"/>
      <c r="O190" s="10"/>
      <c r="P190" s="10"/>
      <c r="Q190" s="10"/>
      <c r="R190" s="10"/>
      <c r="S190" s="10"/>
      <c r="T190" s="10"/>
      <c r="U190" s="10"/>
    </row>
    <row r="191" ht="15.75" customHeight="1">
      <c r="A191" s="8" t="s">
        <v>2227</v>
      </c>
      <c r="B191" s="8" t="s">
        <v>2228</v>
      </c>
      <c r="C191" s="8" t="s">
        <v>2229</v>
      </c>
      <c r="D191" s="15">
        <v>1106.0</v>
      </c>
      <c r="E191" s="8" t="s">
        <v>535</v>
      </c>
      <c r="F191" s="16" t="str">
        <f>HYPERLINK("https://youtu.be/Vbqy14CESN4","watch")</f>
        <v>watch</v>
      </c>
      <c r="G191" s="17" t="s">
        <v>2230</v>
      </c>
      <c r="H191" s="18" t="s">
        <v>25</v>
      </c>
      <c r="I191" s="18">
        <v>3.0</v>
      </c>
      <c r="J191" s="18" t="s">
        <v>48</v>
      </c>
      <c r="K191" s="10"/>
      <c r="L191" s="18" t="s">
        <v>161</v>
      </c>
      <c r="M191" s="10"/>
      <c r="N191" s="10"/>
      <c r="O191" s="10"/>
      <c r="P191" s="10"/>
      <c r="Q191" s="10"/>
      <c r="R191" s="10"/>
      <c r="S191" s="10"/>
      <c r="T191" s="10"/>
      <c r="U191" s="10"/>
    </row>
    <row r="192" ht="15.75" customHeight="1">
      <c r="A192" s="8" t="s">
        <v>2231</v>
      </c>
      <c r="B192" s="8" t="s">
        <v>2232</v>
      </c>
      <c r="C192" s="8" t="s">
        <v>2229</v>
      </c>
      <c r="D192" s="15">
        <v>1209.0</v>
      </c>
      <c r="E192" s="8" t="s">
        <v>735</v>
      </c>
      <c r="F192" s="16" t="str">
        <f>HYPERLINK("https://youtu.be/oAdG2xms9Ko","watch")</f>
        <v>watch</v>
      </c>
      <c r="G192" s="17" t="s">
        <v>2233</v>
      </c>
      <c r="H192" s="18" t="s">
        <v>301</v>
      </c>
      <c r="I192" s="18">
        <v>1.0</v>
      </c>
      <c r="J192" s="18" t="s">
        <v>28</v>
      </c>
      <c r="K192" s="18" t="s">
        <v>2234</v>
      </c>
      <c r="L192" s="18" t="s">
        <v>64</v>
      </c>
      <c r="M192" s="10"/>
      <c r="N192" s="10"/>
      <c r="O192" s="10"/>
      <c r="P192" s="10"/>
      <c r="Q192" s="10"/>
      <c r="R192" s="10"/>
      <c r="S192" s="10"/>
      <c r="T192" s="10"/>
      <c r="U192" s="10"/>
    </row>
    <row r="193" ht="15.75" customHeight="1">
      <c r="A193" s="8" t="s">
        <v>2235</v>
      </c>
      <c r="B193" s="8" t="s">
        <v>2236</v>
      </c>
      <c r="C193" s="8" t="s">
        <v>2237</v>
      </c>
      <c r="D193" s="15">
        <v>2005.0</v>
      </c>
      <c r="E193" s="8" t="s">
        <v>735</v>
      </c>
      <c r="F193" s="16" t="str">
        <f>HYPERLINK("https://youtu.be/Qf2PmYHL8Xw","watch")</f>
        <v>watch</v>
      </c>
      <c r="G193" s="17" t="s">
        <v>2238</v>
      </c>
      <c r="H193" s="18" t="s">
        <v>43</v>
      </c>
      <c r="I193" s="18">
        <v>1.0</v>
      </c>
      <c r="J193" s="18" t="s">
        <v>48</v>
      </c>
      <c r="K193" s="10"/>
      <c r="L193" s="18" t="s">
        <v>81</v>
      </c>
      <c r="M193" s="10"/>
      <c r="N193" s="10"/>
      <c r="O193" s="10"/>
      <c r="P193" s="10"/>
      <c r="Q193" s="10"/>
      <c r="R193" s="10"/>
      <c r="S193" s="10"/>
      <c r="T193" s="10"/>
      <c r="U193" s="10"/>
    </row>
    <row r="194" ht="15.75" customHeight="1">
      <c r="A194" s="8" t="s">
        <v>2239</v>
      </c>
      <c r="B194" s="8" t="s">
        <v>2240</v>
      </c>
      <c r="C194" s="8" t="s">
        <v>2237</v>
      </c>
      <c r="D194" s="15">
        <v>689.0</v>
      </c>
      <c r="E194" s="8" t="s">
        <v>535</v>
      </c>
      <c r="F194" s="16" t="str">
        <f>HYPERLINK("https://youtu.be/4qNvWCkNb9w","watch")</f>
        <v>watch</v>
      </c>
      <c r="G194" s="17" t="s">
        <v>2241</v>
      </c>
      <c r="H194" s="18" t="s">
        <v>25</v>
      </c>
      <c r="I194" s="18">
        <v>10.0</v>
      </c>
      <c r="J194" s="18" t="s">
        <v>48</v>
      </c>
      <c r="K194" s="10"/>
      <c r="L194" s="18" t="s">
        <v>98</v>
      </c>
      <c r="M194" s="10"/>
      <c r="N194" s="10"/>
      <c r="O194" s="10"/>
      <c r="P194" s="10"/>
      <c r="Q194" s="10"/>
      <c r="R194" s="10"/>
      <c r="S194" s="10"/>
      <c r="T194" s="10"/>
      <c r="U194" s="10"/>
    </row>
    <row r="195" ht="15.75" customHeight="1">
      <c r="A195" s="8" t="s">
        <v>2242</v>
      </c>
      <c r="B195" s="8" t="s">
        <v>2243</v>
      </c>
      <c r="C195" s="8" t="s">
        <v>2244</v>
      </c>
      <c r="D195" s="15">
        <v>1400.0</v>
      </c>
      <c r="E195" s="8" t="s">
        <v>685</v>
      </c>
      <c r="F195" s="16" t="str">
        <f>HYPERLINK("https://youtu.be/Pvi54rMlLfQ","watch")</f>
        <v>watch</v>
      </c>
      <c r="G195" s="17" t="s">
        <v>2245</v>
      </c>
      <c r="H195" s="18" t="s">
        <v>25</v>
      </c>
      <c r="I195" s="18">
        <v>3.0</v>
      </c>
      <c r="J195" s="18" t="s">
        <v>48</v>
      </c>
      <c r="K195" s="10"/>
      <c r="L195" s="18" t="s">
        <v>2246</v>
      </c>
      <c r="M195" s="10"/>
      <c r="N195" s="10"/>
      <c r="O195" s="10"/>
      <c r="P195" s="10"/>
      <c r="Q195" s="10"/>
      <c r="R195" s="10"/>
      <c r="S195" s="10"/>
      <c r="T195" s="10"/>
      <c r="U195" s="10"/>
    </row>
    <row r="196" ht="15.75" customHeight="1">
      <c r="A196" s="8" t="s">
        <v>2247</v>
      </c>
      <c r="B196" s="8" t="s">
        <v>2248</v>
      </c>
      <c r="C196" s="8" t="s">
        <v>2244</v>
      </c>
      <c r="D196" s="15">
        <v>1608.0</v>
      </c>
      <c r="E196" s="8" t="s">
        <v>735</v>
      </c>
      <c r="F196" s="16" t="str">
        <f>HYPERLINK("https://youtu.be/tTxItGrPfUw","watch")</f>
        <v>watch</v>
      </c>
      <c r="G196" s="17" t="s">
        <v>2145</v>
      </c>
      <c r="H196" s="18" t="s">
        <v>25</v>
      </c>
      <c r="I196" s="18">
        <v>5.0</v>
      </c>
      <c r="J196" s="18" t="s">
        <v>28</v>
      </c>
      <c r="K196" s="18" t="s">
        <v>1180</v>
      </c>
      <c r="L196" s="18" t="s">
        <v>64</v>
      </c>
      <c r="M196" s="10"/>
      <c r="N196" s="10"/>
      <c r="O196" s="10"/>
      <c r="P196" s="10"/>
      <c r="Q196" s="10"/>
      <c r="R196" s="10"/>
      <c r="S196" s="10"/>
      <c r="T196" s="10"/>
      <c r="U196" s="10"/>
    </row>
    <row r="197" ht="15.75" customHeight="1">
      <c r="A197" s="8" t="s">
        <v>2249</v>
      </c>
      <c r="B197" s="8" t="s">
        <v>2250</v>
      </c>
      <c r="C197" s="8" t="s">
        <v>2251</v>
      </c>
      <c r="D197" s="15">
        <v>1116.0</v>
      </c>
      <c r="E197" s="8" t="s">
        <v>685</v>
      </c>
      <c r="F197" s="16" t="str">
        <f>HYPERLINK("https://youtu.be/6cwLQGIVpKU","watch")</f>
        <v>watch</v>
      </c>
      <c r="G197" s="17" t="s">
        <v>2252</v>
      </c>
      <c r="H197" s="18" t="s">
        <v>25</v>
      </c>
      <c r="I197" s="18">
        <v>2.0</v>
      </c>
      <c r="J197" s="18" t="s">
        <v>48</v>
      </c>
      <c r="K197" s="10"/>
      <c r="L197" s="18" t="s">
        <v>161</v>
      </c>
      <c r="M197" s="10"/>
      <c r="N197" s="10"/>
      <c r="O197" s="10"/>
      <c r="P197" s="10"/>
      <c r="Q197" s="10"/>
      <c r="R197" s="10"/>
      <c r="S197" s="10"/>
      <c r="T197" s="10"/>
      <c r="U197" s="10"/>
    </row>
    <row r="198" ht="15.75" customHeight="1">
      <c r="A198" s="8" t="s">
        <v>2253</v>
      </c>
      <c r="B198" s="8" t="s">
        <v>2254</v>
      </c>
      <c r="C198" s="8" t="s">
        <v>2251</v>
      </c>
      <c r="D198" s="15">
        <v>1294.0</v>
      </c>
      <c r="E198" s="8" t="s">
        <v>735</v>
      </c>
      <c r="F198" s="16" t="str">
        <f>HYPERLINK("https://youtu.be/RXKBcjWfqhE","watch")</f>
        <v>watch</v>
      </c>
      <c r="G198" s="17" t="s">
        <v>264</v>
      </c>
      <c r="H198" s="18" t="s">
        <v>25</v>
      </c>
      <c r="I198" s="18">
        <v>1.0</v>
      </c>
      <c r="J198" s="18" t="s">
        <v>48</v>
      </c>
      <c r="K198" s="10"/>
      <c r="L198" s="18" t="s">
        <v>264</v>
      </c>
      <c r="M198" s="10"/>
      <c r="N198" s="10"/>
      <c r="O198" s="10"/>
      <c r="P198" s="10"/>
      <c r="Q198" s="10"/>
      <c r="R198" s="10"/>
      <c r="S198" s="10"/>
      <c r="T198" s="10"/>
      <c r="U198" s="10"/>
    </row>
    <row r="199" ht="15.75" customHeight="1">
      <c r="A199" s="8" t="s">
        <v>2255</v>
      </c>
      <c r="B199" s="8" t="s">
        <v>2256</v>
      </c>
      <c r="C199" s="8" t="s">
        <v>2257</v>
      </c>
      <c r="D199" s="15">
        <v>1162.0</v>
      </c>
      <c r="E199" s="8" t="s">
        <v>492</v>
      </c>
      <c r="F199" s="16" t="str">
        <f>HYPERLINK("https://youtu.be/yeX4naszsoo","watch")</f>
        <v>watch</v>
      </c>
      <c r="G199" s="17" t="s">
        <v>2258</v>
      </c>
      <c r="H199" s="18" t="s">
        <v>25</v>
      </c>
      <c r="I199" s="18">
        <v>9.0</v>
      </c>
      <c r="J199" s="18" t="s">
        <v>48</v>
      </c>
      <c r="K199" s="10"/>
      <c r="L199" s="18" t="s">
        <v>98</v>
      </c>
      <c r="M199" s="10"/>
      <c r="N199" s="10"/>
      <c r="O199" s="10"/>
      <c r="P199" s="10"/>
      <c r="Q199" s="10"/>
      <c r="R199" s="10"/>
      <c r="S199" s="10"/>
      <c r="T199" s="10"/>
      <c r="U199" s="10"/>
    </row>
    <row r="200" ht="15.75" customHeight="1">
      <c r="A200" s="8" t="s">
        <v>2259</v>
      </c>
      <c r="B200" s="8" t="s">
        <v>2260</v>
      </c>
      <c r="C200" s="8" t="s">
        <v>2257</v>
      </c>
      <c r="D200" s="15">
        <v>1338.0</v>
      </c>
      <c r="E200" s="8" t="s">
        <v>757</v>
      </c>
      <c r="F200" s="16" t="str">
        <f>HYPERLINK("https://youtu.be/GroN9k8XsN0","watch")</f>
        <v>watch</v>
      </c>
      <c r="G200" s="17" t="s">
        <v>2261</v>
      </c>
      <c r="H200" s="18" t="s">
        <v>25</v>
      </c>
      <c r="I200" s="18">
        <v>6.0</v>
      </c>
      <c r="J200" s="18" t="s">
        <v>28</v>
      </c>
      <c r="K200" s="18" t="s">
        <v>2262</v>
      </c>
      <c r="L200" s="18" t="s">
        <v>81</v>
      </c>
      <c r="M200" s="10"/>
      <c r="N200" s="10"/>
      <c r="O200" s="10"/>
      <c r="P200" s="10"/>
      <c r="Q200" s="10"/>
      <c r="R200" s="10"/>
      <c r="S200" s="10"/>
      <c r="T200" s="10"/>
      <c r="U200" s="10"/>
    </row>
    <row r="201" ht="15.75" customHeight="1">
      <c r="A201" s="8" t="s">
        <v>2263</v>
      </c>
      <c r="B201" s="8" t="s">
        <v>2264</v>
      </c>
      <c r="C201" s="8" t="s">
        <v>2265</v>
      </c>
      <c r="D201" s="15">
        <v>1009.0</v>
      </c>
      <c r="E201" s="8" t="s">
        <v>2266</v>
      </c>
      <c r="F201" s="16" t="str">
        <f>HYPERLINK("https://youtu.be/rMMOuM8bsqE","watch")</f>
        <v>watch</v>
      </c>
      <c r="G201" s="17" t="s">
        <v>2267</v>
      </c>
      <c r="H201" s="18" t="s">
        <v>1050</v>
      </c>
      <c r="I201" s="10"/>
      <c r="J201" s="18" t="s">
        <v>28</v>
      </c>
      <c r="K201" s="18" t="s">
        <v>2262</v>
      </c>
      <c r="L201" s="18" t="s">
        <v>2268</v>
      </c>
      <c r="M201" s="10"/>
      <c r="N201" s="10"/>
      <c r="O201" s="10"/>
      <c r="P201" s="10"/>
      <c r="Q201" s="10"/>
      <c r="R201" s="10"/>
      <c r="S201" s="10"/>
      <c r="T201" s="10"/>
      <c r="U201" s="10"/>
    </row>
    <row r="202" ht="15.75" customHeight="1">
      <c r="A202" s="8" t="s">
        <v>2269</v>
      </c>
      <c r="B202" s="8" t="s">
        <v>2270</v>
      </c>
      <c r="C202" s="8" t="s">
        <v>2265</v>
      </c>
      <c r="D202" s="15">
        <v>1091.0</v>
      </c>
      <c r="E202" s="8" t="s">
        <v>2271</v>
      </c>
      <c r="F202" s="16" t="str">
        <f>HYPERLINK("https://youtu.be/EPqUqzrAc30","watch")</f>
        <v>watch</v>
      </c>
      <c r="G202" s="10"/>
      <c r="H202" s="18" t="s">
        <v>1780</v>
      </c>
      <c r="I202" s="10"/>
      <c r="J202" s="18" t="s">
        <v>1935</v>
      </c>
      <c r="K202" s="18" t="s">
        <v>2272</v>
      </c>
      <c r="L202" s="18" t="s">
        <v>2273</v>
      </c>
      <c r="M202" s="10"/>
      <c r="N202" s="10"/>
      <c r="O202" s="10"/>
      <c r="P202" s="10"/>
      <c r="Q202" s="10"/>
      <c r="R202" s="10"/>
      <c r="S202" s="10"/>
      <c r="T202" s="10"/>
      <c r="U202" s="10"/>
    </row>
    <row r="203" ht="15.75" customHeight="1">
      <c r="A203" s="8" t="s">
        <v>2274</v>
      </c>
      <c r="B203" s="8" t="s">
        <v>2275</v>
      </c>
      <c r="C203" s="8" t="s">
        <v>2276</v>
      </c>
      <c r="D203" s="15">
        <v>924.0</v>
      </c>
      <c r="E203" s="8" t="s">
        <v>2175</v>
      </c>
      <c r="F203" s="16" t="str">
        <f>HYPERLINK("https://youtu.be/vHvWDOPoxjo","watch")</f>
        <v>watch</v>
      </c>
      <c r="G203" s="17" t="s">
        <v>2277</v>
      </c>
      <c r="H203" s="18" t="s">
        <v>1050</v>
      </c>
      <c r="I203" s="10"/>
      <c r="J203" s="18" t="s">
        <v>28</v>
      </c>
      <c r="K203" s="18" t="s">
        <v>2278</v>
      </c>
      <c r="L203" s="18" t="s">
        <v>2279</v>
      </c>
      <c r="M203" s="10"/>
      <c r="N203" s="10"/>
      <c r="O203" s="10"/>
      <c r="P203" s="10"/>
      <c r="Q203" s="10"/>
      <c r="R203" s="10"/>
      <c r="S203" s="10"/>
      <c r="T203" s="10"/>
      <c r="U203" s="10"/>
    </row>
    <row r="204" ht="15.75" customHeight="1">
      <c r="A204" s="8" t="s">
        <v>2280</v>
      </c>
      <c r="B204" s="8" t="s">
        <v>2281</v>
      </c>
      <c r="C204" s="8" t="s">
        <v>2276</v>
      </c>
      <c r="D204" s="15">
        <v>2611.0</v>
      </c>
      <c r="E204" s="8" t="s">
        <v>757</v>
      </c>
      <c r="F204" s="16" t="str">
        <f>HYPERLINK("https://youtu.be/QXS1W_L2qbs","watch")</f>
        <v>watch</v>
      </c>
      <c r="G204" s="17" t="s">
        <v>2282</v>
      </c>
      <c r="H204" s="18" t="s">
        <v>25</v>
      </c>
      <c r="I204" s="18">
        <v>12.0</v>
      </c>
      <c r="J204" s="18" t="s">
        <v>1935</v>
      </c>
      <c r="K204" s="25" t="s">
        <v>2283</v>
      </c>
      <c r="L204" s="18" t="s">
        <v>284</v>
      </c>
      <c r="M204" s="10"/>
      <c r="N204" s="10"/>
      <c r="O204" s="10"/>
      <c r="P204" s="10"/>
      <c r="Q204" s="10"/>
      <c r="R204" s="10"/>
      <c r="S204" s="10"/>
      <c r="T204" s="10"/>
      <c r="U204" s="10"/>
    </row>
    <row r="205" ht="15.75" customHeight="1">
      <c r="A205" s="8" t="s">
        <v>2284</v>
      </c>
      <c r="B205" s="8" t="s">
        <v>2285</v>
      </c>
      <c r="C205" s="8" t="s">
        <v>2286</v>
      </c>
      <c r="D205" s="15">
        <v>1130.0</v>
      </c>
      <c r="E205" s="8" t="s">
        <v>2287</v>
      </c>
      <c r="F205" s="16" t="str">
        <f>HYPERLINK("https://youtu.be/sdZx0lmq2mQ","watch")</f>
        <v>watch</v>
      </c>
      <c r="G205" s="17" t="s">
        <v>2288</v>
      </c>
      <c r="H205" s="18" t="s">
        <v>1050</v>
      </c>
      <c r="I205" s="10"/>
      <c r="J205" s="18" t="s">
        <v>28</v>
      </c>
      <c r="K205" s="18" t="s">
        <v>2289</v>
      </c>
      <c r="L205" s="18" t="s">
        <v>2268</v>
      </c>
      <c r="M205" s="10"/>
      <c r="N205" s="10"/>
      <c r="O205" s="10"/>
      <c r="P205" s="10"/>
      <c r="Q205" s="10"/>
      <c r="R205" s="10"/>
      <c r="S205" s="10"/>
      <c r="T205" s="10"/>
      <c r="U205" s="10"/>
    </row>
    <row r="206" ht="15.75" customHeight="1">
      <c r="A206" s="8" t="s">
        <v>2290</v>
      </c>
      <c r="B206" s="8" t="s">
        <v>2291</v>
      </c>
      <c r="C206" s="8" t="s">
        <v>2286</v>
      </c>
      <c r="D206" s="15">
        <v>1209.0</v>
      </c>
      <c r="E206" s="8" t="s">
        <v>492</v>
      </c>
      <c r="F206" s="16" t="str">
        <f>HYPERLINK("https://youtu.be/KEK0q0PgN_I","watch")</f>
        <v>watch</v>
      </c>
      <c r="G206" s="17" t="s">
        <v>2292</v>
      </c>
      <c r="H206" s="18" t="s">
        <v>25</v>
      </c>
      <c r="I206" s="18">
        <v>8.0</v>
      </c>
      <c r="J206" s="18" t="s">
        <v>28</v>
      </c>
      <c r="K206" s="18" t="s">
        <v>2293</v>
      </c>
      <c r="L206" s="18" t="s">
        <v>98</v>
      </c>
      <c r="M206" s="10"/>
      <c r="N206" s="10"/>
      <c r="O206" s="10"/>
      <c r="P206" s="10"/>
      <c r="Q206" s="10"/>
      <c r="R206" s="10"/>
      <c r="S206" s="10"/>
      <c r="T206" s="10"/>
      <c r="U206" s="10"/>
    </row>
    <row r="207" ht="15.75" customHeight="1">
      <c r="A207" s="8" t="s">
        <v>2294</v>
      </c>
      <c r="B207" s="8" t="s">
        <v>2295</v>
      </c>
      <c r="C207" s="8" t="s">
        <v>2296</v>
      </c>
      <c r="D207" s="15">
        <v>1349.0</v>
      </c>
      <c r="E207" s="8" t="s">
        <v>2131</v>
      </c>
      <c r="F207" s="16" t="str">
        <f>HYPERLINK("https://youtu.be/wBIeB-63sKw","watch")</f>
        <v>watch</v>
      </c>
      <c r="G207" s="17" t="s">
        <v>2297</v>
      </c>
      <c r="H207" s="18" t="s">
        <v>1050</v>
      </c>
      <c r="I207" s="10"/>
      <c r="J207" s="18" t="s">
        <v>28</v>
      </c>
      <c r="K207" s="18" t="s">
        <v>2298</v>
      </c>
      <c r="L207" s="18" t="s">
        <v>2299</v>
      </c>
      <c r="M207" s="10"/>
      <c r="N207" s="10"/>
      <c r="O207" s="10"/>
      <c r="P207" s="10"/>
      <c r="Q207" s="10"/>
      <c r="R207" s="10"/>
      <c r="S207" s="10"/>
      <c r="T207" s="10"/>
      <c r="U207" s="10"/>
    </row>
    <row r="208" ht="15.75" customHeight="1">
      <c r="A208" s="8" t="s">
        <v>2300</v>
      </c>
      <c r="B208" s="8" t="s">
        <v>2301</v>
      </c>
      <c r="C208" s="8" t="s">
        <v>2296</v>
      </c>
      <c r="D208" s="15">
        <v>1160.0</v>
      </c>
      <c r="E208" s="8" t="s">
        <v>735</v>
      </c>
      <c r="F208" s="16" t="str">
        <f>HYPERLINK("https://youtu.be/-la8PgoBkCw","watch")</f>
        <v>watch</v>
      </c>
      <c r="G208" s="17" t="s">
        <v>2302</v>
      </c>
      <c r="H208" s="18" t="s">
        <v>25</v>
      </c>
      <c r="I208" s="18">
        <v>11.0</v>
      </c>
      <c r="J208" s="18" t="s">
        <v>48</v>
      </c>
      <c r="K208" s="10"/>
      <c r="L208" s="18" t="s">
        <v>284</v>
      </c>
      <c r="M208" s="10"/>
      <c r="N208" s="10"/>
      <c r="O208" s="10"/>
      <c r="P208" s="10"/>
      <c r="Q208" s="10"/>
      <c r="R208" s="10"/>
      <c r="S208" s="10"/>
      <c r="T208" s="10"/>
      <c r="U208" s="10"/>
    </row>
    <row r="209" ht="15.75" customHeight="1">
      <c r="A209" s="8" t="s">
        <v>2303</v>
      </c>
      <c r="B209" s="8" t="s">
        <v>2304</v>
      </c>
      <c r="C209" s="8" t="s">
        <v>2305</v>
      </c>
      <c r="D209" s="15">
        <v>964.0</v>
      </c>
      <c r="E209" s="8" t="s">
        <v>2306</v>
      </c>
      <c r="F209" s="16" t="str">
        <f>HYPERLINK("https://youtu.be/XjFoToaom6k","watch")</f>
        <v>watch</v>
      </c>
      <c r="G209" s="10"/>
      <c r="H209" s="18" t="s">
        <v>318</v>
      </c>
      <c r="I209" s="10"/>
      <c r="J209" s="18" t="s">
        <v>28</v>
      </c>
      <c r="K209" s="18" t="s">
        <v>2307</v>
      </c>
      <c r="L209" s="18" t="s">
        <v>2308</v>
      </c>
      <c r="M209" s="10"/>
      <c r="N209" s="10"/>
      <c r="O209" s="10"/>
      <c r="P209" s="10"/>
      <c r="Q209" s="10"/>
      <c r="R209" s="10"/>
      <c r="S209" s="10"/>
      <c r="T209" s="10"/>
      <c r="U209" s="10"/>
    </row>
    <row r="210" ht="15.75" customHeight="1">
      <c r="A210" s="8" t="s">
        <v>2309</v>
      </c>
      <c r="B210" s="8" t="s">
        <v>2310</v>
      </c>
      <c r="C210" s="8" t="s">
        <v>2305</v>
      </c>
      <c r="D210" s="15">
        <v>993.0</v>
      </c>
      <c r="E210" s="8" t="s">
        <v>2311</v>
      </c>
      <c r="F210" s="16" t="str">
        <f>HYPERLINK("https://youtu.be/LGzHC-k4vh0","watch")</f>
        <v>watch</v>
      </c>
      <c r="G210" s="17" t="s">
        <v>2312</v>
      </c>
      <c r="H210" s="18" t="s">
        <v>43</v>
      </c>
      <c r="I210" s="18">
        <v>6.0</v>
      </c>
      <c r="J210" s="18" t="s">
        <v>28</v>
      </c>
      <c r="K210" s="18" t="s">
        <v>2313</v>
      </c>
      <c r="L210" s="18" t="s">
        <v>2039</v>
      </c>
      <c r="M210" s="10"/>
      <c r="N210" s="10"/>
      <c r="O210" s="10"/>
      <c r="P210" s="10"/>
      <c r="Q210" s="10"/>
      <c r="R210" s="10"/>
      <c r="S210" s="10"/>
      <c r="T210" s="10"/>
      <c r="U210" s="10"/>
    </row>
    <row r="211" ht="15.75" customHeight="1">
      <c r="A211" s="8" t="s">
        <v>2314</v>
      </c>
      <c r="B211" s="8" t="s">
        <v>2315</v>
      </c>
      <c r="C211" s="8" t="s">
        <v>2316</v>
      </c>
      <c r="D211" s="15">
        <v>989.0</v>
      </c>
      <c r="E211" s="8" t="s">
        <v>2158</v>
      </c>
      <c r="F211" s="16" t="str">
        <f>HYPERLINK("https://youtu.be/8SX0B-7WM8A","watch")</f>
        <v>watch</v>
      </c>
      <c r="G211" s="17" t="s">
        <v>199</v>
      </c>
      <c r="H211" s="18" t="s">
        <v>2317</v>
      </c>
      <c r="I211" s="10"/>
      <c r="J211" s="18" t="s">
        <v>28</v>
      </c>
      <c r="K211" s="18" t="s">
        <v>2318</v>
      </c>
      <c r="L211" s="18" t="s">
        <v>2319</v>
      </c>
      <c r="M211" s="10"/>
      <c r="N211" s="10"/>
      <c r="O211" s="10"/>
      <c r="P211" s="10"/>
      <c r="Q211" s="10"/>
      <c r="R211" s="10"/>
      <c r="S211" s="10"/>
      <c r="T211" s="10"/>
      <c r="U211" s="10"/>
    </row>
    <row r="212" ht="15.75" customHeight="1">
      <c r="A212" s="8" t="s">
        <v>2320</v>
      </c>
      <c r="B212" s="8" t="s">
        <v>2321</v>
      </c>
      <c r="C212" s="8" t="s">
        <v>2316</v>
      </c>
      <c r="D212" s="15">
        <v>880.0</v>
      </c>
      <c r="E212" s="8" t="s">
        <v>2271</v>
      </c>
      <c r="F212" s="16" t="str">
        <f>HYPERLINK("https://youtu.be/J0Gy0iIz3ok","watch")</f>
        <v>watch</v>
      </c>
      <c r="G212" s="17" t="s">
        <v>2322</v>
      </c>
      <c r="H212" s="18" t="s">
        <v>1050</v>
      </c>
      <c r="I212" s="10"/>
      <c r="J212" s="18" t="s">
        <v>28</v>
      </c>
      <c r="K212" s="18" t="s">
        <v>2323</v>
      </c>
      <c r="L212" s="18" t="s">
        <v>2324</v>
      </c>
      <c r="M212" s="10"/>
      <c r="N212" s="10"/>
      <c r="O212" s="10"/>
      <c r="P212" s="10"/>
      <c r="Q212" s="10"/>
      <c r="R212" s="10"/>
      <c r="S212" s="10"/>
      <c r="T212" s="10"/>
      <c r="U212" s="10"/>
    </row>
    <row r="213" ht="15.75" customHeight="1">
      <c r="A213" s="8" t="s">
        <v>2325</v>
      </c>
      <c r="B213" s="8" t="s">
        <v>2326</v>
      </c>
      <c r="C213" s="8" t="s">
        <v>2327</v>
      </c>
      <c r="D213" s="15">
        <v>1161.0</v>
      </c>
      <c r="E213" s="8" t="s">
        <v>2328</v>
      </c>
      <c r="F213" s="16" t="str">
        <f>HYPERLINK("https://youtu.be/HbSOpODafEw","watch")</f>
        <v>watch</v>
      </c>
      <c r="G213" s="17" t="s">
        <v>2329</v>
      </c>
      <c r="H213" s="18" t="s">
        <v>1050</v>
      </c>
      <c r="I213" s="10"/>
      <c r="J213" s="18" t="s">
        <v>28</v>
      </c>
      <c r="K213" s="18" t="s">
        <v>2330</v>
      </c>
      <c r="L213" s="18" t="s">
        <v>2268</v>
      </c>
      <c r="M213" s="10"/>
      <c r="N213" s="10"/>
      <c r="O213" s="10"/>
      <c r="P213" s="10"/>
      <c r="Q213" s="10"/>
      <c r="R213" s="10"/>
      <c r="S213" s="10"/>
      <c r="T213" s="10"/>
      <c r="U213" s="10"/>
    </row>
    <row r="214" ht="15.75" customHeight="1">
      <c r="A214" s="8" t="s">
        <v>2331</v>
      </c>
      <c r="B214" s="8" t="s">
        <v>2332</v>
      </c>
      <c r="C214" s="8" t="s">
        <v>2327</v>
      </c>
      <c r="D214" s="15">
        <v>1145.0</v>
      </c>
      <c r="E214" s="8" t="s">
        <v>1554</v>
      </c>
      <c r="F214" s="16" t="str">
        <f>HYPERLINK("https://youtu.be/NzWUDxXwnPI","watch")</f>
        <v>watch</v>
      </c>
      <c r="G214" s="10"/>
      <c r="H214" s="18" t="s">
        <v>1780</v>
      </c>
      <c r="I214" s="10"/>
      <c r="J214" s="18" t="s">
        <v>28</v>
      </c>
      <c r="K214" s="18" t="s">
        <v>2333</v>
      </c>
      <c r="L214" s="18" t="s">
        <v>2273</v>
      </c>
      <c r="M214" s="10"/>
      <c r="N214" s="10"/>
      <c r="O214" s="10"/>
      <c r="P214" s="10"/>
      <c r="Q214" s="10"/>
      <c r="R214" s="10"/>
      <c r="S214" s="10"/>
      <c r="T214" s="10"/>
      <c r="U214" s="10"/>
    </row>
    <row r="215" ht="15.75" customHeight="1">
      <c r="A215" s="8" t="s">
        <v>2334</v>
      </c>
      <c r="B215" s="8" t="s">
        <v>2335</v>
      </c>
      <c r="C215" s="8" t="s">
        <v>2336</v>
      </c>
      <c r="D215" s="15">
        <v>1078.0</v>
      </c>
      <c r="E215" s="8" t="s">
        <v>1819</v>
      </c>
      <c r="F215" s="16" t="str">
        <f>HYPERLINK("https://youtu.be/53yMHXauDnA","watch")</f>
        <v>watch</v>
      </c>
      <c r="G215" s="17" t="s">
        <v>2337</v>
      </c>
      <c r="H215" s="18" t="s">
        <v>43</v>
      </c>
      <c r="I215" s="18">
        <v>5.0</v>
      </c>
      <c r="J215" s="18" t="s">
        <v>48</v>
      </c>
      <c r="K215" s="10"/>
      <c r="L215" s="18" t="s">
        <v>2039</v>
      </c>
      <c r="M215" s="10"/>
      <c r="N215" s="10"/>
      <c r="O215" s="10"/>
      <c r="P215" s="10"/>
      <c r="Q215" s="10"/>
      <c r="R215" s="10"/>
      <c r="S215" s="10"/>
      <c r="T215" s="10"/>
      <c r="U215" s="10"/>
    </row>
    <row r="216" ht="15.75" customHeight="1">
      <c r="A216" s="8" t="s">
        <v>2338</v>
      </c>
      <c r="B216" s="8" t="s">
        <v>2339</v>
      </c>
      <c r="C216" s="8" t="s">
        <v>2336</v>
      </c>
      <c r="D216" s="15">
        <v>1223.0</v>
      </c>
      <c r="E216" s="8" t="s">
        <v>1791</v>
      </c>
      <c r="F216" s="16" t="str">
        <f>HYPERLINK("https://youtu.be/dQaN_4yqS0w","watch")</f>
        <v>watch</v>
      </c>
      <c r="G216" s="17" t="s">
        <v>2340</v>
      </c>
      <c r="H216" s="18" t="s">
        <v>25</v>
      </c>
      <c r="I216" s="18">
        <v>2.0</v>
      </c>
      <c r="J216" s="18" t="s">
        <v>28</v>
      </c>
      <c r="K216" s="18" t="s">
        <v>2341</v>
      </c>
      <c r="L216" s="18" t="s">
        <v>2246</v>
      </c>
      <c r="M216" s="10"/>
      <c r="N216" s="10"/>
      <c r="O216" s="10"/>
      <c r="P216" s="10"/>
      <c r="Q216" s="10"/>
      <c r="R216" s="10"/>
      <c r="S216" s="10"/>
      <c r="T216" s="10"/>
      <c r="U216" s="10"/>
    </row>
    <row r="217" ht="15.75" customHeight="1">
      <c r="A217" s="8" t="s">
        <v>2342</v>
      </c>
      <c r="B217" s="8" t="s">
        <v>2343</v>
      </c>
      <c r="C217" s="8" t="s">
        <v>2344</v>
      </c>
      <c r="D217" s="15">
        <v>1001.0</v>
      </c>
      <c r="E217" s="8" t="s">
        <v>1013</v>
      </c>
      <c r="F217" s="16" t="str">
        <f>HYPERLINK("https://youtu.be/7PBrXPgt9kU","watch")</f>
        <v>watch</v>
      </c>
      <c r="G217" s="17" t="s">
        <v>2345</v>
      </c>
      <c r="H217" s="18" t="s">
        <v>43</v>
      </c>
      <c r="I217" s="18">
        <v>6.0</v>
      </c>
      <c r="J217" s="18" t="s">
        <v>28</v>
      </c>
      <c r="K217" s="18" t="s">
        <v>1180</v>
      </c>
      <c r="L217" s="18" t="s">
        <v>64</v>
      </c>
      <c r="M217" s="10"/>
      <c r="N217" s="10"/>
      <c r="O217" s="10"/>
      <c r="P217" s="10"/>
      <c r="Q217" s="10"/>
      <c r="R217" s="10"/>
      <c r="S217" s="10"/>
      <c r="T217" s="10"/>
      <c r="U217" s="10"/>
    </row>
    <row r="218" ht="15.75" customHeight="1">
      <c r="A218" s="8" t="s">
        <v>2346</v>
      </c>
      <c r="B218" s="8" t="s">
        <v>2347</v>
      </c>
      <c r="C218" s="8" t="s">
        <v>2344</v>
      </c>
      <c r="D218" s="15">
        <v>1150.0</v>
      </c>
      <c r="E218" s="8" t="s">
        <v>492</v>
      </c>
      <c r="F218" s="16" t="str">
        <f>HYPERLINK("https://youtu.be/S_2SHhBqlH8","watch")</f>
        <v>watch</v>
      </c>
      <c r="G218" s="17" t="s">
        <v>2348</v>
      </c>
      <c r="H218" s="18" t="s">
        <v>25</v>
      </c>
      <c r="I218" s="18">
        <v>7.0</v>
      </c>
      <c r="J218" s="18" t="s">
        <v>28</v>
      </c>
      <c r="K218" s="18" t="s">
        <v>2349</v>
      </c>
      <c r="L218" s="18" t="s">
        <v>98</v>
      </c>
      <c r="M218" s="10"/>
      <c r="N218" s="10"/>
      <c r="O218" s="10"/>
      <c r="P218" s="10"/>
      <c r="Q218" s="10"/>
      <c r="R218" s="10"/>
      <c r="S218" s="10"/>
      <c r="T218" s="10"/>
      <c r="U218" s="10"/>
    </row>
    <row r="219" ht="15.75" customHeight="1">
      <c r="A219" s="8" t="s">
        <v>2350</v>
      </c>
      <c r="B219" s="8" t="s">
        <v>2351</v>
      </c>
      <c r="C219" s="8" t="s">
        <v>2352</v>
      </c>
      <c r="D219" s="15">
        <v>753.0</v>
      </c>
      <c r="E219" s="8" t="s">
        <v>1586</v>
      </c>
      <c r="F219" s="16" t="str">
        <f>HYPERLINK("https://youtu.be/cg0H0ipfB90","watch")</f>
        <v>watch</v>
      </c>
      <c r="G219" s="17" t="s">
        <v>226</v>
      </c>
      <c r="H219" s="18" t="s">
        <v>2353</v>
      </c>
      <c r="I219" s="10"/>
      <c r="J219" s="18" t="s">
        <v>28</v>
      </c>
      <c r="K219" s="18" t="s">
        <v>2354</v>
      </c>
      <c r="L219" s="18" t="s">
        <v>2355</v>
      </c>
      <c r="M219" s="10"/>
      <c r="N219" s="10"/>
      <c r="O219" s="10"/>
      <c r="P219" s="10"/>
      <c r="Q219" s="10"/>
      <c r="R219" s="10"/>
      <c r="S219" s="10"/>
      <c r="T219" s="10"/>
      <c r="U219" s="10"/>
    </row>
    <row r="220" ht="15.75" customHeight="1">
      <c r="A220" s="8" t="s">
        <v>2356</v>
      </c>
      <c r="B220" s="8" t="s">
        <v>2357</v>
      </c>
      <c r="C220" s="8" t="s">
        <v>2352</v>
      </c>
      <c r="D220" s="15">
        <v>1207.0</v>
      </c>
      <c r="E220" s="8" t="s">
        <v>685</v>
      </c>
      <c r="F220" s="16" t="str">
        <f>HYPERLINK("https://youtu.be/hVS0VH-nfVM","watch")</f>
        <v>watch</v>
      </c>
      <c r="G220" s="17" t="s">
        <v>2358</v>
      </c>
      <c r="H220" s="18" t="s">
        <v>25</v>
      </c>
      <c r="I220" s="18">
        <v>1.0</v>
      </c>
      <c r="J220" s="18" t="s">
        <v>48</v>
      </c>
      <c r="K220" s="10"/>
      <c r="L220" s="18" t="s">
        <v>2246</v>
      </c>
      <c r="M220" s="10"/>
      <c r="N220" s="10"/>
      <c r="O220" s="10"/>
      <c r="P220" s="10"/>
      <c r="Q220" s="10"/>
      <c r="R220" s="10"/>
      <c r="S220" s="10"/>
      <c r="T220" s="10"/>
      <c r="U220" s="10"/>
    </row>
    <row r="221" ht="15.75" customHeight="1">
      <c r="A221" s="8" t="s">
        <v>2359</v>
      </c>
      <c r="B221" s="8" t="s">
        <v>2360</v>
      </c>
      <c r="C221" s="8" t="s">
        <v>2361</v>
      </c>
      <c r="D221" s="15">
        <v>1428.0</v>
      </c>
      <c r="E221" s="8" t="s">
        <v>228</v>
      </c>
      <c r="F221" s="16" t="str">
        <f>HYPERLINK("https://youtu.be/U91JWMsUHAU","watch")</f>
        <v>watch</v>
      </c>
      <c r="G221" s="17" t="s">
        <v>2362</v>
      </c>
      <c r="H221" s="18" t="s">
        <v>25</v>
      </c>
      <c r="I221" s="18">
        <v>1.0</v>
      </c>
      <c r="J221" s="18" t="s">
        <v>28</v>
      </c>
      <c r="K221" s="18" t="s">
        <v>2363</v>
      </c>
      <c r="L221" s="18" t="s">
        <v>280</v>
      </c>
      <c r="M221" s="10"/>
      <c r="N221" s="10"/>
      <c r="O221" s="10"/>
      <c r="P221" s="10"/>
      <c r="Q221" s="10"/>
      <c r="R221" s="10"/>
      <c r="S221" s="10"/>
      <c r="T221" s="10"/>
      <c r="U221" s="10"/>
    </row>
    <row r="222" ht="15.75" customHeight="1">
      <c r="A222" s="8" t="s">
        <v>2364</v>
      </c>
      <c r="B222" s="8" t="s">
        <v>2365</v>
      </c>
      <c r="C222" s="8" t="s">
        <v>2361</v>
      </c>
      <c r="D222" s="15">
        <v>970.0</v>
      </c>
      <c r="E222" s="8" t="s">
        <v>1140</v>
      </c>
      <c r="F222" s="16" t="str">
        <f>HYPERLINK("https://youtu.be/VP1UXW3MrGU","watch")</f>
        <v>watch</v>
      </c>
      <c r="G222" s="17" t="s">
        <v>2366</v>
      </c>
      <c r="H222" s="18" t="s">
        <v>43</v>
      </c>
      <c r="I222" s="18">
        <v>4.0</v>
      </c>
      <c r="J222" s="18" t="s">
        <v>28</v>
      </c>
      <c r="K222" s="18" t="s">
        <v>1917</v>
      </c>
      <c r="L222" s="18" t="s">
        <v>2039</v>
      </c>
      <c r="M222" s="10"/>
      <c r="N222" s="10"/>
      <c r="O222" s="10"/>
      <c r="P222" s="10"/>
      <c r="Q222" s="10"/>
      <c r="R222" s="10"/>
      <c r="S222" s="10"/>
      <c r="T222" s="10"/>
      <c r="U222" s="10"/>
    </row>
    <row r="223" ht="15.75" customHeight="1">
      <c r="A223" s="8" t="s">
        <v>2367</v>
      </c>
      <c r="B223" s="8" t="s">
        <v>2368</v>
      </c>
      <c r="C223" s="8" t="s">
        <v>2369</v>
      </c>
      <c r="D223" s="15">
        <v>786.0</v>
      </c>
      <c r="E223" s="8" t="s">
        <v>2370</v>
      </c>
      <c r="F223" s="16" t="str">
        <f>HYPERLINK("https://youtu.be/JjTm-bYLhGE","watch")</f>
        <v>watch</v>
      </c>
      <c r="G223" s="17" t="s">
        <v>2371</v>
      </c>
      <c r="H223" s="18" t="s">
        <v>1559</v>
      </c>
      <c r="I223" s="10"/>
      <c r="J223" s="18" t="s">
        <v>28</v>
      </c>
      <c r="K223" s="18" t="s">
        <v>2372</v>
      </c>
      <c r="L223" s="18" t="s">
        <v>1562</v>
      </c>
      <c r="M223" s="10"/>
      <c r="N223" s="10"/>
      <c r="O223" s="10"/>
      <c r="P223" s="10"/>
      <c r="Q223" s="10"/>
      <c r="R223" s="10"/>
      <c r="S223" s="10"/>
      <c r="T223" s="10"/>
      <c r="U223" s="10"/>
    </row>
    <row r="224" ht="15.75" customHeight="1">
      <c r="A224" s="8" t="s">
        <v>2373</v>
      </c>
      <c r="B224" s="8" t="s">
        <v>2374</v>
      </c>
      <c r="C224" s="8" t="s">
        <v>2369</v>
      </c>
      <c r="D224" s="15">
        <v>1337.0</v>
      </c>
      <c r="E224" s="8" t="s">
        <v>1013</v>
      </c>
      <c r="F224" s="16" t="str">
        <f>HYPERLINK("https://youtu.be/fFbWjWLD1N4","watch")</f>
        <v>watch</v>
      </c>
      <c r="G224" s="17" t="s">
        <v>2375</v>
      </c>
      <c r="H224" s="18" t="s">
        <v>43</v>
      </c>
      <c r="I224" s="18">
        <v>5.0</v>
      </c>
      <c r="J224" s="18" t="s">
        <v>48</v>
      </c>
      <c r="K224" s="10"/>
      <c r="L224" s="18" t="s">
        <v>64</v>
      </c>
      <c r="M224" s="10"/>
      <c r="N224" s="10"/>
      <c r="O224" s="10"/>
      <c r="P224" s="10"/>
      <c r="Q224" s="10"/>
      <c r="R224" s="10"/>
      <c r="S224" s="10"/>
      <c r="T224" s="10"/>
      <c r="U224" s="10"/>
    </row>
    <row r="225" ht="15.75" customHeight="1">
      <c r="A225" s="8" t="s">
        <v>2376</v>
      </c>
      <c r="B225" s="8" t="s">
        <v>2377</v>
      </c>
      <c r="C225" s="8" t="s">
        <v>2378</v>
      </c>
      <c r="D225" s="15">
        <v>765.0</v>
      </c>
      <c r="E225" s="8" t="s">
        <v>735</v>
      </c>
      <c r="F225" s="16" t="str">
        <f>HYPERLINK("https://youtu.be/39Rh6NJPK9M","watch")</f>
        <v>watch</v>
      </c>
      <c r="G225" s="17" t="s">
        <v>2379</v>
      </c>
      <c r="H225" s="18" t="s">
        <v>43</v>
      </c>
      <c r="I225" s="18">
        <v>3.0</v>
      </c>
      <c r="J225" s="18" t="s">
        <v>48</v>
      </c>
      <c r="K225" s="10"/>
      <c r="L225" s="18" t="s">
        <v>2039</v>
      </c>
      <c r="M225" s="10"/>
      <c r="N225" s="10"/>
      <c r="O225" s="10"/>
      <c r="P225" s="10"/>
      <c r="Q225" s="10"/>
      <c r="R225" s="10"/>
      <c r="S225" s="10"/>
      <c r="T225" s="10"/>
      <c r="U225" s="10"/>
    </row>
    <row r="226" ht="15.75" customHeight="1">
      <c r="A226" s="8" t="s">
        <v>2380</v>
      </c>
      <c r="B226" s="8" t="s">
        <v>2381</v>
      </c>
      <c r="C226" s="8" t="s">
        <v>2378</v>
      </c>
      <c r="D226" s="15">
        <v>901.0</v>
      </c>
      <c r="E226" s="8" t="s">
        <v>2158</v>
      </c>
      <c r="F226" s="16" t="str">
        <f>HYPERLINK("https://youtu.be/K5RKQlNhvl8","watch")</f>
        <v>watch</v>
      </c>
      <c r="G226" s="10"/>
      <c r="H226" s="18" t="s">
        <v>1780</v>
      </c>
      <c r="I226" s="10"/>
      <c r="J226" s="18" t="s">
        <v>28</v>
      </c>
      <c r="K226" s="18" t="s">
        <v>2382</v>
      </c>
      <c r="L226" s="18" t="s">
        <v>2383</v>
      </c>
      <c r="M226" s="10"/>
      <c r="N226" s="10"/>
      <c r="O226" s="10"/>
      <c r="P226" s="10"/>
      <c r="Q226" s="10"/>
      <c r="R226" s="10"/>
      <c r="S226" s="10"/>
      <c r="T226" s="10"/>
      <c r="U226" s="10"/>
    </row>
    <row r="227" ht="15.75" customHeight="1">
      <c r="A227" s="8" t="s">
        <v>2384</v>
      </c>
      <c r="B227" s="8" t="s">
        <v>2385</v>
      </c>
      <c r="C227" s="8" t="s">
        <v>2386</v>
      </c>
      <c r="D227" s="15">
        <v>960.0</v>
      </c>
      <c r="E227" s="8" t="s">
        <v>1013</v>
      </c>
      <c r="F227" s="16" t="str">
        <f>HYPERLINK("https://youtu.be/6sg185zTjM4","watch")</f>
        <v>watch</v>
      </c>
      <c r="G227" s="17" t="s">
        <v>2387</v>
      </c>
      <c r="H227" s="18" t="s">
        <v>43</v>
      </c>
      <c r="I227" s="18">
        <v>4.0</v>
      </c>
      <c r="J227" s="18" t="s">
        <v>28</v>
      </c>
      <c r="K227" s="18" t="s">
        <v>2388</v>
      </c>
      <c r="L227" s="18" t="s">
        <v>64</v>
      </c>
      <c r="M227" s="10"/>
      <c r="N227" s="10"/>
      <c r="O227" s="10"/>
      <c r="P227" s="10"/>
      <c r="Q227" s="10"/>
      <c r="R227" s="10"/>
      <c r="S227" s="10"/>
      <c r="T227" s="10"/>
      <c r="U227" s="10"/>
    </row>
    <row r="228" ht="15.75" customHeight="1">
      <c r="A228" s="8" t="s">
        <v>2389</v>
      </c>
      <c r="B228" s="8" t="s">
        <v>2390</v>
      </c>
      <c r="C228" s="8" t="s">
        <v>2386</v>
      </c>
      <c r="D228" s="15">
        <v>1135.0</v>
      </c>
      <c r="E228" s="8" t="s">
        <v>1013</v>
      </c>
      <c r="F228" s="16" t="str">
        <f>HYPERLINK("https://youtu.be/J-Gqbe3jPn4","watch")</f>
        <v>watch</v>
      </c>
      <c r="G228" s="17" t="s">
        <v>294</v>
      </c>
      <c r="H228" s="18" t="s">
        <v>25</v>
      </c>
      <c r="I228" s="18">
        <v>1.0</v>
      </c>
      <c r="J228" s="18" t="s">
        <v>28</v>
      </c>
      <c r="K228" s="18" t="s">
        <v>2391</v>
      </c>
      <c r="L228" s="18" t="s">
        <v>294</v>
      </c>
      <c r="M228" s="10"/>
      <c r="N228" s="10"/>
      <c r="O228" s="10"/>
      <c r="P228" s="10"/>
      <c r="Q228" s="10"/>
      <c r="R228" s="10"/>
      <c r="S228" s="10"/>
      <c r="T228" s="10"/>
      <c r="U228" s="10"/>
    </row>
    <row r="229" ht="15.75" customHeight="1">
      <c r="A229" s="8" t="s">
        <v>2392</v>
      </c>
      <c r="B229" s="8" t="s">
        <v>2393</v>
      </c>
      <c r="C229" s="8" t="s">
        <v>2394</v>
      </c>
      <c r="D229" s="15">
        <v>839.0</v>
      </c>
      <c r="E229" s="8" t="s">
        <v>1013</v>
      </c>
      <c r="F229" s="16" t="str">
        <f>HYPERLINK("https://youtu.be/yMTuhasZsZ4","watch")</f>
        <v>watch</v>
      </c>
      <c r="G229" s="17" t="s">
        <v>2395</v>
      </c>
      <c r="H229" s="18" t="s">
        <v>43</v>
      </c>
      <c r="I229" s="18">
        <v>2.0</v>
      </c>
      <c r="J229" s="18" t="s">
        <v>28</v>
      </c>
      <c r="K229" s="18" t="s">
        <v>2396</v>
      </c>
      <c r="L229" s="18" t="s">
        <v>2039</v>
      </c>
      <c r="M229" s="10"/>
      <c r="N229" s="10"/>
      <c r="O229" s="10"/>
      <c r="P229" s="10"/>
      <c r="Q229" s="10"/>
      <c r="R229" s="10"/>
      <c r="S229" s="10"/>
      <c r="T229" s="10"/>
      <c r="U229" s="10"/>
    </row>
    <row r="230" ht="15.75" customHeight="1">
      <c r="A230" s="8" t="s">
        <v>2397</v>
      </c>
      <c r="B230" s="8" t="s">
        <v>2398</v>
      </c>
      <c r="C230" s="8" t="s">
        <v>2394</v>
      </c>
      <c r="D230" s="15">
        <v>727.0</v>
      </c>
      <c r="E230" s="8" t="s">
        <v>2131</v>
      </c>
      <c r="F230" s="16" t="str">
        <f>HYPERLINK("https://youtu.be/4z82NZ7QCJY","watch")</f>
        <v>watch</v>
      </c>
      <c r="G230" s="17" t="s">
        <v>2399</v>
      </c>
      <c r="H230" s="18" t="s">
        <v>1559</v>
      </c>
      <c r="I230" s="18">
        <v>3.0</v>
      </c>
      <c r="J230" s="18" t="s">
        <v>28</v>
      </c>
      <c r="K230" s="18" t="s">
        <v>2400</v>
      </c>
      <c r="L230" s="18" t="s">
        <v>1562</v>
      </c>
      <c r="M230" s="10"/>
      <c r="N230" s="10"/>
      <c r="O230" s="10"/>
      <c r="P230" s="10"/>
      <c r="Q230" s="10"/>
      <c r="R230" s="10"/>
      <c r="S230" s="10"/>
      <c r="T230" s="10"/>
      <c r="U230" s="10"/>
    </row>
    <row r="231" ht="15.75" customHeight="1">
      <c r="A231" s="8" t="s">
        <v>2401</v>
      </c>
      <c r="B231" s="8" t="s">
        <v>2402</v>
      </c>
      <c r="C231" s="8" t="s">
        <v>2403</v>
      </c>
      <c r="D231" s="15">
        <v>1155.0</v>
      </c>
      <c r="E231" s="8" t="s">
        <v>228</v>
      </c>
      <c r="F231" s="16" t="str">
        <f>HYPERLINK("https://youtu.be/tlOeWpJhJ1E","watch")</f>
        <v>watch</v>
      </c>
      <c r="G231" s="17" t="s">
        <v>2404</v>
      </c>
      <c r="H231" s="18" t="s">
        <v>43</v>
      </c>
      <c r="I231" s="18">
        <v>3.0</v>
      </c>
      <c r="J231" s="18" t="s">
        <v>48</v>
      </c>
      <c r="K231" s="10"/>
      <c r="L231" s="18" t="s">
        <v>64</v>
      </c>
      <c r="M231" s="10"/>
      <c r="N231" s="10"/>
      <c r="O231" s="10"/>
      <c r="P231" s="10"/>
      <c r="Q231" s="10"/>
      <c r="R231" s="10"/>
      <c r="S231" s="10"/>
      <c r="T231" s="10"/>
      <c r="U231" s="10"/>
    </row>
    <row r="232" ht="15.75" customHeight="1">
      <c r="A232" s="8" t="s">
        <v>2405</v>
      </c>
      <c r="B232" s="8" t="s">
        <v>2406</v>
      </c>
      <c r="C232" s="8" t="s">
        <v>2403</v>
      </c>
      <c r="D232" s="15">
        <v>1150.0</v>
      </c>
      <c r="E232" s="8" t="s">
        <v>535</v>
      </c>
      <c r="F232" s="16" t="str">
        <f>HYPERLINK("https://youtu.be/IuNgQ6IWdVc","watch")</f>
        <v>watch</v>
      </c>
      <c r="G232" s="17" t="s">
        <v>2407</v>
      </c>
      <c r="H232" s="18" t="s">
        <v>25</v>
      </c>
      <c r="I232" s="18">
        <v>4.0</v>
      </c>
      <c r="J232" s="18" t="s">
        <v>48</v>
      </c>
      <c r="K232" s="10"/>
      <c r="L232" s="18" t="s">
        <v>252</v>
      </c>
      <c r="M232" s="10"/>
      <c r="N232" s="10"/>
      <c r="O232" s="10"/>
      <c r="P232" s="10"/>
      <c r="Q232" s="10"/>
      <c r="R232" s="10"/>
      <c r="S232" s="10"/>
      <c r="T232" s="10"/>
      <c r="U232" s="10"/>
    </row>
    <row r="233" ht="15.75" customHeight="1">
      <c r="A233" s="8" t="s">
        <v>2408</v>
      </c>
      <c r="B233" s="8" t="s">
        <v>2409</v>
      </c>
      <c r="C233" s="8" t="s">
        <v>2410</v>
      </c>
      <c r="D233" s="15">
        <v>1225.0</v>
      </c>
      <c r="E233" s="8" t="s">
        <v>228</v>
      </c>
      <c r="F233" s="16" t="str">
        <f>HYPERLINK("https://youtu.be/DljCIsO2zkU","watch")</f>
        <v>watch</v>
      </c>
      <c r="G233" s="17" t="s">
        <v>2411</v>
      </c>
      <c r="H233" s="18" t="s">
        <v>43</v>
      </c>
      <c r="I233" s="18">
        <v>1.0</v>
      </c>
      <c r="J233" s="18" t="s">
        <v>48</v>
      </c>
      <c r="K233" s="10"/>
      <c r="L233" s="18" t="s">
        <v>2039</v>
      </c>
      <c r="M233" s="10"/>
      <c r="N233" s="10"/>
      <c r="O233" s="10"/>
      <c r="P233" s="10"/>
      <c r="Q233" s="10"/>
      <c r="R233" s="10"/>
      <c r="S233" s="10"/>
      <c r="T233" s="10"/>
      <c r="U233" s="10"/>
    </row>
    <row r="234" ht="15.75" customHeight="1">
      <c r="A234" s="8" t="s">
        <v>2412</v>
      </c>
      <c r="B234" s="8" t="s">
        <v>2413</v>
      </c>
      <c r="C234" s="8" t="s">
        <v>2410</v>
      </c>
      <c r="D234" s="15">
        <v>1259.0</v>
      </c>
      <c r="E234" s="8" t="s">
        <v>1013</v>
      </c>
      <c r="F234" s="16" t="str">
        <f>HYPERLINK("https://youtu.be/nCIpRxwMMBE","watch")</f>
        <v>watch</v>
      </c>
      <c r="G234" s="17" t="s">
        <v>2414</v>
      </c>
      <c r="H234" s="18" t="s">
        <v>25</v>
      </c>
      <c r="I234" s="18">
        <v>2.0</v>
      </c>
      <c r="J234" s="18" t="s">
        <v>28</v>
      </c>
      <c r="K234" s="18" t="s">
        <v>2415</v>
      </c>
      <c r="L234" s="18" t="s">
        <v>306</v>
      </c>
      <c r="M234" s="10"/>
      <c r="N234" s="10"/>
      <c r="O234" s="10"/>
      <c r="P234" s="10"/>
      <c r="Q234" s="10"/>
      <c r="R234" s="10"/>
      <c r="S234" s="10"/>
      <c r="T234" s="10"/>
      <c r="U234" s="10"/>
    </row>
    <row r="235" ht="15.75" customHeight="1">
      <c r="A235" s="8" t="s">
        <v>2416</v>
      </c>
      <c r="B235" s="8" t="s">
        <v>2417</v>
      </c>
      <c r="C235" s="8" t="s">
        <v>2418</v>
      </c>
      <c r="D235" s="15">
        <v>1470.0</v>
      </c>
      <c r="E235" s="8" t="s">
        <v>735</v>
      </c>
      <c r="F235" s="16" t="str">
        <f>HYPERLINK("https://youtu.be/KGj2ZTDLcrA","watch")</f>
        <v>watch</v>
      </c>
      <c r="G235" s="17" t="s">
        <v>306</v>
      </c>
      <c r="H235" s="18" t="s">
        <v>25</v>
      </c>
      <c r="I235" s="18">
        <v>1.0</v>
      </c>
      <c r="J235" s="18" t="s">
        <v>48</v>
      </c>
      <c r="K235" s="10"/>
      <c r="L235" s="18" t="s">
        <v>306</v>
      </c>
      <c r="M235" s="10"/>
      <c r="N235" s="10"/>
      <c r="O235" s="10"/>
      <c r="P235" s="10"/>
      <c r="Q235" s="10"/>
      <c r="R235" s="10"/>
      <c r="S235" s="10"/>
      <c r="T235" s="10"/>
      <c r="U235" s="10"/>
    </row>
    <row r="236" ht="15.75" customHeight="1">
      <c r="A236" s="8" t="s">
        <v>2419</v>
      </c>
      <c r="B236" s="8" t="s">
        <v>2420</v>
      </c>
      <c r="C236" s="8" t="s">
        <v>2418</v>
      </c>
      <c r="D236" s="15">
        <v>1334.0</v>
      </c>
      <c r="E236" s="8" t="s">
        <v>228</v>
      </c>
      <c r="F236" s="16" t="str">
        <f>HYPERLINK("https://youtu.be/8Nbj7wLBgrc","watch")</f>
        <v>watch</v>
      </c>
      <c r="G236" s="17" t="s">
        <v>2421</v>
      </c>
      <c r="H236" s="18" t="s">
        <v>43</v>
      </c>
      <c r="I236" s="18">
        <v>2.0</v>
      </c>
      <c r="J236" s="18" t="s">
        <v>48</v>
      </c>
      <c r="K236" s="10"/>
      <c r="L236" s="18" t="s">
        <v>1807</v>
      </c>
      <c r="M236" s="10"/>
      <c r="N236" s="10"/>
      <c r="O236" s="10"/>
      <c r="P236" s="10"/>
      <c r="Q236" s="10"/>
      <c r="R236" s="10"/>
      <c r="S236" s="10"/>
      <c r="T236" s="10"/>
      <c r="U236" s="10"/>
    </row>
    <row r="237" ht="15.75" customHeight="1">
      <c r="A237" s="8" t="s">
        <v>2422</v>
      </c>
      <c r="B237" s="8" t="s">
        <v>2423</v>
      </c>
      <c r="C237" s="8" t="s">
        <v>2424</v>
      </c>
      <c r="D237" s="15">
        <v>1022.0</v>
      </c>
      <c r="E237" s="8" t="s">
        <v>228</v>
      </c>
      <c r="F237" s="16" t="str">
        <f>HYPERLINK("https://youtu.be/OTKn4mNzQ7I","watch")</f>
        <v>watch</v>
      </c>
      <c r="G237" s="17" t="s">
        <v>2425</v>
      </c>
      <c r="H237" s="18" t="s">
        <v>43</v>
      </c>
      <c r="I237" s="18">
        <v>1.0</v>
      </c>
      <c r="J237" s="18" t="s">
        <v>48</v>
      </c>
      <c r="K237" s="10"/>
      <c r="L237" s="18" t="s">
        <v>1807</v>
      </c>
      <c r="M237" s="10"/>
      <c r="N237" s="10"/>
      <c r="O237" s="10"/>
      <c r="P237" s="10"/>
      <c r="Q237" s="10"/>
      <c r="R237" s="10"/>
      <c r="S237" s="10"/>
      <c r="T237" s="10"/>
      <c r="U237" s="10"/>
    </row>
    <row r="238" ht="15.75" customHeight="1">
      <c r="A238" s="8" t="s">
        <v>2426</v>
      </c>
      <c r="B238" s="8" t="s">
        <v>2427</v>
      </c>
      <c r="C238" s="8" t="s">
        <v>2424</v>
      </c>
      <c r="D238" s="15">
        <v>834.0</v>
      </c>
      <c r="E238" s="8" t="s">
        <v>2428</v>
      </c>
      <c r="F238" s="16" t="str">
        <f>HYPERLINK("https://youtu.be/fZk7D5Wd0Eg","watch")</f>
        <v>watch</v>
      </c>
      <c r="G238" s="17" t="s">
        <v>81</v>
      </c>
      <c r="H238" s="18" t="s">
        <v>2429</v>
      </c>
      <c r="I238" s="18">
        <v>1.0</v>
      </c>
      <c r="J238" s="18" t="s">
        <v>28</v>
      </c>
      <c r="K238" s="18" t="s">
        <v>2430</v>
      </c>
      <c r="L238" s="18" t="s">
        <v>2431</v>
      </c>
      <c r="M238" s="10"/>
      <c r="N238" s="10"/>
      <c r="O238" s="10"/>
      <c r="P238" s="10"/>
      <c r="Q238" s="10"/>
      <c r="R238" s="10"/>
      <c r="S238" s="10"/>
      <c r="T238" s="10"/>
      <c r="U238" s="10"/>
    </row>
    <row r="239" ht="15.75" customHeight="1">
      <c r="A239" s="8" t="s">
        <v>2432</v>
      </c>
      <c r="B239" s="8" t="s">
        <v>2433</v>
      </c>
      <c r="C239" s="8" t="s">
        <v>2434</v>
      </c>
      <c r="D239" s="15">
        <v>25.0</v>
      </c>
      <c r="E239" s="8" t="s">
        <v>2158</v>
      </c>
      <c r="F239" s="16" t="str">
        <f>HYPERLINK("https://youtu.be/ac3pK3zh0DE","watch")</f>
        <v>watch</v>
      </c>
      <c r="G239" s="10"/>
      <c r="H239" s="18" t="s">
        <v>200</v>
      </c>
      <c r="I239" s="18">
        <v>1.0</v>
      </c>
      <c r="J239" s="10"/>
      <c r="K239" s="18" t="s">
        <v>2435</v>
      </c>
      <c r="L239" s="18" t="s">
        <v>2436</v>
      </c>
      <c r="M239" s="10"/>
      <c r="N239" s="10"/>
      <c r="O239" s="10"/>
      <c r="P239" s="10"/>
      <c r="Q239" s="10"/>
      <c r="R239" s="10"/>
      <c r="S239" s="10"/>
      <c r="T239" s="10"/>
      <c r="U239" s="10"/>
    </row>
    <row r="240" ht="15.75" customHeight="1">
      <c r="A240" s="8" t="s">
        <v>2437</v>
      </c>
      <c r="B240" s="8" t="s">
        <v>2438</v>
      </c>
      <c r="C240" s="8" t="s">
        <v>2434</v>
      </c>
      <c r="D240" s="15">
        <v>297.0</v>
      </c>
      <c r="E240" s="8" t="s">
        <v>535</v>
      </c>
      <c r="F240" s="16" t="str">
        <f>HYPERLINK("https://youtu.be/i9htInhtbCw","watch")</f>
        <v>watch</v>
      </c>
      <c r="G240" s="17" t="s">
        <v>284</v>
      </c>
      <c r="H240" s="18" t="s">
        <v>25</v>
      </c>
      <c r="I240" s="18">
        <v>10.0</v>
      </c>
      <c r="J240" s="18" t="s">
        <v>1935</v>
      </c>
      <c r="K240" s="26" t="s">
        <v>2439</v>
      </c>
      <c r="L240" s="18" t="s">
        <v>284</v>
      </c>
      <c r="M240" s="10"/>
      <c r="N240" s="10"/>
      <c r="O240" s="10"/>
      <c r="P240" s="10"/>
      <c r="Q240" s="10"/>
      <c r="R240" s="10"/>
      <c r="S240" s="10"/>
      <c r="T240" s="10"/>
      <c r="U240" s="10"/>
    </row>
    <row r="241" ht="15.75" customHeight="1">
      <c r="A241" s="8" t="s">
        <v>2440</v>
      </c>
      <c r="B241" s="8" t="s">
        <v>2441</v>
      </c>
      <c r="C241" s="8" t="s">
        <v>2442</v>
      </c>
      <c r="D241" s="15">
        <v>1076.0</v>
      </c>
      <c r="E241" s="8" t="s">
        <v>1791</v>
      </c>
      <c r="F241" s="16" t="str">
        <f>HYPERLINK("https://youtu.be/MFBINfOTwZ8","watch")</f>
        <v>watch</v>
      </c>
      <c r="G241" s="17" t="s">
        <v>2443</v>
      </c>
      <c r="H241" s="18" t="s">
        <v>25</v>
      </c>
      <c r="I241" s="18">
        <v>9.0</v>
      </c>
      <c r="J241" s="18" t="s">
        <v>48</v>
      </c>
      <c r="K241" s="10"/>
      <c r="L241" s="18" t="s">
        <v>284</v>
      </c>
      <c r="M241" s="10"/>
      <c r="N241" s="10"/>
      <c r="O241" s="10"/>
      <c r="P241" s="10"/>
      <c r="Q241" s="10"/>
      <c r="R241" s="10"/>
      <c r="S241" s="10"/>
      <c r="T241" s="10"/>
      <c r="U241" s="10"/>
    </row>
    <row r="242" ht="15.75" customHeight="1">
      <c r="A242" s="8" t="s">
        <v>2444</v>
      </c>
      <c r="B242" s="8" t="s">
        <v>2445</v>
      </c>
      <c r="C242" s="8" t="s">
        <v>2442</v>
      </c>
      <c r="D242" s="15">
        <v>521.0</v>
      </c>
      <c r="E242" s="8" t="s">
        <v>2370</v>
      </c>
      <c r="F242" s="16" t="str">
        <f>HYPERLINK("https://youtu.be/-fOEh7wMmkE","watch")</f>
        <v>watch</v>
      </c>
      <c r="G242" s="17" t="s">
        <v>81</v>
      </c>
      <c r="H242" s="18" t="s">
        <v>2446</v>
      </c>
      <c r="I242" s="10"/>
      <c r="J242" s="18" t="s">
        <v>1935</v>
      </c>
      <c r="K242" s="18" t="s">
        <v>2447</v>
      </c>
      <c r="L242" s="18" t="s">
        <v>2448</v>
      </c>
      <c r="M242" s="10"/>
      <c r="N242" s="10"/>
      <c r="O242" s="10"/>
      <c r="P242" s="10"/>
      <c r="Q242" s="10"/>
      <c r="R242" s="10"/>
      <c r="S242" s="10"/>
      <c r="T242" s="10"/>
      <c r="U242" s="10"/>
    </row>
    <row r="243" ht="15.75" customHeight="1">
      <c r="A243" s="8" t="s">
        <v>2449</v>
      </c>
      <c r="B243" s="8" t="s">
        <v>2450</v>
      </c>
      <c r="C243" s="8" t="s">
        <v>2451</v>
      </c>
      <c r="D243" s="15">
        <v>1238.0</v>
      </c>
      <c r="E243" s="8" t="s">
        <v>2131</v>
      </c>
      <c r="F243" s="16" t="str">
        <f>HYPERLINK("https://youtu.be/f5fYeGx1neA","watch")</f>
        <v>watch</v>
      </c>
      <c r="G243" s="17" t="s">
        <v>199</v>
      </c>
      <c r="H243" s="18" t="s">
        <v>2446</v>
      </c>
      <c r="I243" s="18">
        <v>1.0</v>
      </c>
      <c r="J243" s="18" t="s">
        <v>48</v>
      </c>
      <c r="K243" s="10"/>
      <c r="L243" s="18" t="s">
        <v>2319</v>
      </c>
      <c r="M243" s="10"/>
      <c r="N243" s="10"/>
      <c r="O243" s="10"/>
      <c r="P243" s="10"/>
      <c r="Q243" s="10"/>
      <c r="R243" s="10"/>
      <c r="S243" s="10"/>
      <c r="T243" s="10"/>
      <c r="U243" s="10"/>
    </row>
    <row r="244" ht="15.75" customHeight="1">
      <c r="A244" s="8" t="s">
        <v>2452</v>
      </c>
      <c r="B244" s="8" t="s">
        <v>2453</v>
      </c>
      <c r="C244" s="8" t="s">
        <v>2451</v>
      </c>
      <c r="D244" s="15">
        <v>277.0</v>
      </c>
      <c r="E244" s="8" t="s">
        <v>757</v>
      </c>
      <c r="F244" s="16" t="str">
        <f>HYPERLINK("https://youtu.be/-Xu2ulrwynY","watch")</f>
        <v>watch</v>
      </c>
      <c r="G244" s="17" t="s">
        <v>2172</v>
      </c>
      <c r="H244" s="18" t="s">
        <v>25</v>
      </c>
      <c r="I244" s="18">
        <v>4.0</v>
      </c>
      <c r="J244" s="18" t="s">
        <v>48</v>
      </c>
      <c r="K244" s="10"/>
      <c r="L244" s="18" t="s">
        <v>1807</v>
      </c>
      <c r="M244" s="10"/>
      <c r="N244" s="10"/>
      <c r="O244" s="10"/>
      <c r="P244" s="10"/>
      <c r="Q244" s="10"/>
      <c r="R244" s="10"/>
      <c r="S244" s="10"/>
      <c r="T244" s="10"/>
      <c r="U244" s="10"/>
    </row>
    <row r="245" ht="15.75" customHeight="1">
      <c r="A245" s="8" t="s">
        <v>2454</v>
      </c>
      <c r="B245" s="8" t="s">
        <v>2455</v>
      </c>
      <c r="C245" s="8" t="s">
        <v>2456</v>
      </c>
      <c r="D245" s="15">
        <v>1445.0</v>
      </c>
      <c r="E245" s="8" t="s">
        <v>492</v>
      </c>
      <c r="F245" s="16" t="str">
        <f>HYPERLINK("https://youtu.be/7culUDeVb5Y","watch")</f>
        <v>watch</v>
      </c>
      <c r="G245" s="17" t="s">
        <v>2457</v>
      </c>
      <c r="H245" s="18" t="s">
        <v>25</v>
      </c>
      <c r="I245" s="18">
        <v>8.0</v>
      </c>
      <c r="J245" s="18" t="s">
        <v>48</v>
      </c>
      <c r="K245" s="10"/>
      <c r="L245" s="18" t="s">
        <v>284</v>
      </c>
      <c r="M245" s="10"/>
      <c r="N245" s="10"/>
      <c r="O245" s="10"/>
      <c r="P245" s="10"/>
      <c r="Q245" s="10"/>
      <c r="R245" s="10"/>
      <c r="S245" s="10"/>
      <c r="T245" s="10"/>
      <c r="U245" s="10"/>
    </row>
    <row r="246" ht="15.75" customHeight="1">
      <c r="A246" s="8" t="s">
        <v>2458</v>
      </c>
      <c r="B246" s="8" t="s">
        <v>2459</v>
      </c>
      <c r="C246" s="8" t="s">
        <v>2456</v>
      </c>
      <c r="D246" s="15">
        <v>882.0</v>
      </c>
      <c r="E246" s="8" t="s">
        <v>2460</v>
      </c>
      <c r="F246" s="16" t="str">
        <f>HYPERLINK("https://youtu.be/g9RQqx9da6Q","watch")</f>
        <v>watch</v>
      </c>
      <c r="G246" s="10"/>
      <c r="H246" s="18" t="s">
        <v>200</v>
      </c>
      <c r="I246" s="10"/>
      <c r="J246" s="18" t="s">
        <v>1935</v>
      </c>
      <c r="K246" s="18" t="s">
        <v>2461</v>
      </c>
      <c r="L246" s="18" t="s">
        <v>2462</v>
      </c>
      <c r="M246" s="10"/>
      <c r="N246" s="10"/>
      <c r="O246" s="10"/>
      <c r="P246" s="10"/>
      <c r="Q246" s="10"/>
      <c r="R246" s="10"/>
      <c r="S246" s="10"/>
      <c r="T246" s="10"/>
      <c r="U246" s="10"/>
    </row>
    <row r="247" ht="15.75" customHeight="1">
      <c r="A247" s="8" t="s">
        <v>2463</v>
      </c>
      <c r="B247" s="8" t="s">
        <v>2464</v>
      </c>
      <c r="C247" s="8" t="s">
        <v>2465</v>
      </c>
      <c r="D247" s="15">
        <v>828.0</v>
      </c>
      <c r="E247" s="8" t="s">
        <v>2466</v>
      </c>
      <c r="F247" s="16" t="str">
        <f>HYPERLINK("https://youtu.be/GLM2VLIWZGo","watch")</f>
        <v>watch</v>
      </c>
      <c r="G247" s="17" t="s">
        <v>147</v>
      </c>
      <c r="H247" s="18" t="s">
        <v>147</v>
      </c>
      <c r="I247" s="18">
        <v>1.0</v>
      </c>
      <c r="J247" s="18" t="s">
        <v>1935</v>
      </c>
      <c r="K247" s="18" t="s">
        <v>2467</v>
      </c>
      <c r="L247" s="18" t="s">
        <v>2468</v>
      </c>
      <c r="M247" s="10"/>
      <c r="N247" s="10"/>
      <c r="O247" s="10"/>
      <c r="P247" s="10"/>
      <c r="Q247" s="10"/>
      <c r="R247" s="10"/>
      <c r="S247" s="10"/>
      <c r="T247" s="10"/>
      <c r="U247" s="10"/>
    </row>
    <row r="248" ht="15.75" customHeight="1">
      <c r="A248" s="8" t="s">
        <v>2469</v>
      </c>
      <c r="B248" s="8" t="s">
        <v>2470</v>
      </c>
      <c r="C248" s="8" t="s">
        <v>2465</v>
      </c>
      <c r="D248" s="15">
        <v>1380.0</v>
      </c>
      <c r="E248" s="8" t="s">
        <v>757</v>
      </c>
      <c r="F248" s="16" t="str">
        <f>HYPERLINK("https://youtu.be/dQpRfkoUPWI","watch")</f>
        <v>watch</v>
      </c>
      <c r="G248" s="17" t="s">
        <v>2471</v>
      </c>
      <c r="H248" s="18" t="s">
        <v>25</v>
      </c>
      <c r="I248" s="18">
        <v>1.0</v>
      </c>
      <c r="J248" s="18" t="s">
        <v>48</v>
      </c>
      <c r="K248" s="10"/>
      <c r="L248" s="18" t="s">
        <v>289</v>
      </c>
      <c r="M248" s="10"/>
      <c r="N248" s="10"/>
      <c r="O248" s="10"/>
      <c r="P248" s="10"/>
      <c r="Q248" s="10"/>
      <c r="R248" s="10"/>
      <c r="S248" s="10"/>
      <c r="T248" s="10"/>
      <c r="U248" s="10"/>
    </row>
    <row r="249" ht="15.75" customHeight="1">
      <c r="A249" s="8" t="s">
        <v>2472</v>
      </c>
      <c r="B249" s="8" t="s">
        <v>2473</v>
      </c>
      <c r="C249" s="8" t="s">
        <v>2474</v>
      </c>
      <c r="D249" s="15">
        <v>490.0</v>
      </c>
      <c r="E249" s="8" t="s">
        <v>2311</v>
      </c>
      <c r="F249" s="16" t="str">
        <f>HYPERLINK("https://youtu.be/N3bs0HjmrKY","watch")</f>
        <v>watch</v>
      </c>
      <c r="G249" s="10"/>
      <c r="H249" s="18" t="s">
        <v>1780</v>
      </c>
      <c r="I249" s="10"/>
      <c r="J249" s="18" t="s">
        <v>48</v>
      </c>
      <c r="K249" s="10"/>
      <c r="L249" s="18" t="s">
        <v>2475</v>
      </c>
      <c r="M249" s="10"/>
      <c r="N249" s="10"/>
      <c r="O249" s="10"/>
      <c r="P249" s="10"/>
      <c r="Q249" s="10"/>
      <c r="R249" s="10"/>
      <c r="S249" s="10"/>
      <c r="T249" s="10"/>
      <c r="U249" s="10"/>
    </row>
    <row r="250" ht="15.75" customHeight="1">
      <c r="A250" s="8" t="s">
        <v>2476</v>
      </c>
      <c r="B250" s="8" t="s">
        <v>2477</v>
      </c>
      <c r="C250" s="8" t="s">
        <v>2474</v>
      </c>
      <c r="D250" s="15">
        <v>778.0</v>
      </c>
      <c r="E250" s="8" t="s">
        <v>2478</v>
      </c>
      <c r="F250" s="16" t="str">
        <f>HYPERLINK("https://youtu.be/LlGPrTKqIYg","watch")</f>
        <v>watch</v>
      </c>
      <c r="G250" s="17" t="s">
        <v>81</v>
      </c>
      <c r="H250" s="18" t="s">
        <v>2446</v>
      </c>
      <c r="I250" s="10"/>
      <c r="J250" s="18" t="s">
        <v>1935</v>
      </c>
      <c r="K250" s="18" t="s">
        <v>2479</v>
      </c>
      <c r="L250" s="18" t="s">
        <v>2448</v>
      </c>
      <c r="M250" s="10"/>
      <c r="N250" s="10"/>
      <c r="O250" s="10"/>
      <c r="P250" s="10"/>
      <c r="Q250" s="10"/>
      <c r="R250" s="10"/>
      <c r="S250" s="10"/>
      <c r="T250" s="10"/>
      <c r="U250" s="10"/>
    </row>
    <row r="251" ht="15.75" customHeight="1">
      <c r="A251" s="8" t="s">
        <v>2480</v>
      </c>
      <c r="B251" s="8" t="s">
        <v>2481</v>
      </c>
      <c r="C251" s="8" t="s">
        <v>2474</v>
      </c>
      <c r="D251" s="15">
        <v>15.0</v>
      </c>
      <c r="E251" s="8" t="s">
        <v>757</v>
      </c>
      <c r="F251" s="16" t="str">
        <f>HYPERLINK("https://youtu.be/VYyrgZDkOFY","watch")</f>
        <v>watch</v>
      </c>
      <c r="G251" s="17" t="s">
        <v>2194</v>
      </c>
      <c r="H251" s="18" t="s">
        <v>25</v>
      </c>
      <c r="I251" s="18">
        <v>3.0</v>
      </c>
      <c r="J251" s="18" t="s">
        <v>1935</v>
      </c>
      <c r="K251" s="18" t="s">
        <v>2482</v>
      </c>
      <c r="L251" s="18" t="s">
        <v>1807</v>
      </c>
      <c r="M251" s="10"/>
      <c r="N251" s="10"/>
      <c r="O251" s="10"/>
      <c r="P251" s="10"/>
      <c r="Q251" s="10"/>
      <c r="R251" s="10"/>
      <c r="S251" s="10"/>
      <c r="T251" s="10"/>
      <c r="U251" s="10"/>
    </row>
    <row r="252" ht="15.75" customHeight="1">
      <c r="A252" s="8" t="s">
        <v>2483</v>
      </c>
      <c r="B252" s="8" t="s">
        <v>2484</v>
      </c>
      <c r="C252" s="8" t="s">
        <v>2485</v>
      </c>
      <c r="D252" s="15">
        <v>307.0</v>
      </c>
      <c r="E252" s="8" t="s">
        <v>1586</v>
      </c>
      <c r="F252" s="16" t="str">
        <f>HYPERLINK("https://youtu.be/LKSHOUDN-i4","watch")</f>
        <v>watch</v>
      </c>
      <c r="G252" s="17" t="s">
        <v>2486</v>
      </c>
      <c r="H252" s="18" t="s">
        <v>1050</v>
      </c>
      <c r="I252" s="10"/>
      <c r="J252" s="18" t="s">
        <v>48</v>
      </c>
      <c r="K252" s="10"/>
      <c r="L252" s="18" t="s">
        <v>2268</v>
      </c>
      <c r="M252" s="10"/>
      <c r="N252" s="10"/>
      <c r="O252" s="10"/>
      <c r="P252" s="10"/>
      <c r="Q252" s="10"/>
      <c r="R252" s="10"/>
      <c r="S252" s="10"/>
      <c r="T252" s="10"/>
      <c r="U252" s="10"/>
    </row>
    <row r="253" ht="15.75" customHeight="1">
      <c r="A253" s="8" t="s">
        <v>2487</v>
      </c>
      <c r="B253" s="8" t="s">
        <v>2488</v>
      </c>
      <c r="C253" s="8" t="s">
        <v>2485</v>
      </c>
      <c r="D253" s="15">
        <v>232.0</v>
      </c>
      <c r="E253" s="8" t="s">
        <v>2460</v>
      </c>
      <c r="F253" s="16" t="str">
        <f>HYPERLINK("https://youtu.be/igNbRZX5e_0","watch")</f>
        <v>watch</v>
      </c>
      <c r="G253" s="17" t="s">
        <v>2489</v>
      </c>
      <c r="H253" s="18" t="s">
        <v>2490</v>
      </c>
      <c r="I253" s="10"/>
      <c r="J253" s="18" t="s">
        <v>1935</v>
      </c>
      <c r="K253" s="18" t="s">
        <v>2491</v>
      </c>
      <c r="L253" s="18" t="s">
        <v>2492</v>
      </c>
      <c r="M253" s="10"/>
      <c r="N253" s="10"/>
      <c r="O253" s="10"/>
      <c r="P253" s="10"/>
      <c r="Q253" s="10"/>
      <c r="R253" s="10"/>
      <c r="S253" s="10"/>
      <c r="T253" s="10"/>
      <c r="U253" s="10"/>
    </row>
    <row r="254" ht="15.75" customHeight="1">
      <c r="A254" s="8" t="s">
        <v>2493</v>
      </c>
      <c r="B254" s="8" t="s">
        <v>2494</v>
      </c>
      <c r="C254" s="8" t="s">
        <v>2495</v>
      </c>
      <c r="D254" s="15">
        <v>1055.0</v>
      </c>
      <c r="E254" s="8" t="s">
        <v>987</v>
      </c>
      <c r="F254" s="16" t="str">
        <f>HYPERLINK("https://youtu.be/5BnjVE-BN70","watch")</f>
        <v>watch</v>
      </c>
      <c r="G254" s="17" t="s">
        <v>2496</v>
      </c>
      <c r="H254" s="18" t="s">
        <v>25</v>
      </c>
      <c r="I254" s="18">
        <v>7.0</v>
      </c>
      <c r="J254" s="18" t="s">
        <v>1935</v>
      </c>
      <c r="K254" s="18" t="s">
        <v>2497</v>
      </c>
      <c r="L254" s="18" t="s">
        <v>284</v>
      </c>
      <c r="M254" s="10"/>
      <c r="N254" s="10"/>
      <c r="O254" s="10"/>
      <c r="P254" s="10"/>
      <c r="Q254" s="10"/>
      <c r="R254" s="10"/>
      <c r="S254" s="10"/>
      <c r="T254" s="10"/>
      <c r="U254" s="10"/>
    </row>
    <row r="255" ht="15.75" customHeight="1">
      <c r="A255" s="8" t="s">
        <v>2498</v>
      </c>
      <c r="B255" s="8" t="s">
        <v>2499</v>
      </c>
      <c r="C255" s="8" t="s">
        <v>2495</v>
      </c>
      <c r="D255" s="15">
        <v>224.0</v>
      </c>
      <c r="E255" s="8" t="s">
        <v>2500</v>
      </c>
      <c r="F255" s="16" t="str">
        <f>HYPERLINK("https://youtu.be/_ccErXVzURs","watch")</f>
        <v>watch</v>
      </c>
      <c r="G255" s="10"/>
      <c r="H255" s="18" t="s">
        <v>1780</v>
      </c>
      <c r="I255" s="10"/>
      <c r="J255" s="18" t="s">
        <v>1935</v>
      </c>
      <c r="K255" s="18" t="s">
        <v>2501</v>
      </c>
      <c r="L255" s="18" t="s">
        <v>2502</v>
      </c>
      <c r="M255" s="10"/>
      <c r="N255" s="10"/>
      <c r="O255" s="10"/>
      <c r="P255" s="10"/>
      <c r="Q255" s="10"/>
      <c r="R255" s="10"/>
      <c r="S255" s="10"/>
      <c r="T255" s="10"/>
      <c r="U255" s="10"/>
    </row>
    <row r="256" ht="15.75" customHeight="1">
      <c r="A256" s="8" t="s">
        <v>2503</v>
      </c>
      <c r="B256" s="8" t="s">
        <v>2504</v>
      </c>
      <c r="C256" s="8" t="s">
        <v>2505</v>
      </c>
      <c r="D256" s="15">
        <v>530.0</v>
      </c>
      <c r="E256" s="8" t="s">
        <v>1013</v>
      </c>
      <c r="F256" s="16" t="str">
        <f>HYPERLINK("https://youtu.be/gSygkzEehmU","watch")</f>
        <v>watch</v>
      </c>
      <c r="G256" s="17" t="s">
        <v>2506</v>
      </c>
      <c r="H256" s="18" t="s">
        <v>25</v>
      </c>
      <c r="I256" s="18">
        <v>6.0</v>
      </c>
      <c r="J256" s="18" t="s">
        <v>1935</v>
      </c>
      <c r="K256" s="18" t="s">
        <v>869</v>
      </c>
      <c r="L256" s="18" t="s">
        <v>284</v>
      </c>
      <c r="M256" s="10"/>
      <c r="N256" s="10"/>
      <c r="O256" s="10"/>
      <c r="P256" s="10"/>
      <c r="Q256" s="10"/>
      <c r="R256" s="10"/>
      <c r="S256" s="10"/>
      <c r="T256" s="10"/>
      <c r="U256" s="10"/>
    </row>
    <row r="257" ht="15.75" customHeight="1">
      <c r="A257" s="8" t="s">
        <v>2507</v>
      </c>
      <c r="B257" s="8" t="s">
        <v>2508</v>
      </c>
      <c r="C257" s="8" t="s">
        <v>2505</v>
      </c>
      <c r="D257" s="15">
        <v>1057.0</v>
      </c>
      <c r="E257" s="8" t="s">
        <v>735</v>
      </c>
      <c r="F257" s="16" t="str">
        <f>HYPERLINK("https://youtu.be/4yxqzTeZMAo","watch")</f>
        <v>watch</v>
      </c>
      <c r="G257" s="17" t="s">
        <v>2219</v>
      </c>
      <c r="H257" s="18" t="s">
        <v>25</v>
      </c>
      <c r="I257" s="18">
        <v>2.0</v>
      </c>
      <c r="J257" s="18" t="s">
        <v>48</v>
      </c>
      <c r="K257" s="10"/>
      <c r="L257" s="18" t="s">
        <v>1807</v>
      </c>
      <c r="M257" s="10"/>
      <c r="N257" s="10"/>
      <c r="O257" s="10"/>
      <c r="P257" s="10"/>
      <c r="Q257" s="10"/>
      <c r="R257" s="10"/>
      <c r="S257" s="10"/>
      <c r="T257" s="10"/>
      <c r="U257" s="10"/>
    </row>
    <row r="258" ht="15.75" customHeight="1">
      <c r="A258" s="8" t="s">
        <v>2509</v>
      </c>
      <c r="B258" s="8" t="s">
        <v>2510</v>
      </c>
      <c r="C258" s="8" t="s">
        <v>2511</v>
      </c>
      <c r="D258" s="15">
        <v>236.0</v>
      </c>
      <c r="E258" s="8" t="s">
        <v>735</v>
      </c>
      <c r="F258" s="16" t="str">
        <f>HYPERLINK("https://youtu.be/PnbibBm1E64","watch")</f>
        <v>watch</v>
      </c>
      <c r="G258" s="10"/>
      <c r="H258" s="18" t="s">
        <v>2512</v>
      </c>
      <c r="I258" s="10"/>
      <c r="J258" s="18" t="s">
        <v>48</v>
      </c>
      <c r="K258" s="10"/>
      <c r="L258" s="18" t="s">
        <v>2513</v>
      </c>
      <c r="M258" s="10"/>
      <c r="N258" s="10"/>
      <c r="O258" s="10"/>
      <c r="P258" s="10"/>
      <c r="Q258" s="10"/>
      <c r="R258" s="10"/>
      <c r="S258" s="10"/>
      <c r="T258" s="10"/>
      <c r="U258" s="10"/>
    </row>
    <row r="259" ht="15.75" customHeight="1">
      <c r="A259" s="8" t="s">
        <v>2514</v>
      </c>
      <c r="B259" s="8" t="s">
        <v>2515</v>
      </c>
      <c r="C259" s="8" t="s">
        <v>2511</v>
      </c>
      <c r="D259" s="15">
        <v>1341.0</v>
      </c>
      <c r="E259" s="8" t="s">
        <v>2516</v>
      </c>
      <c r="F259" s="16" t="str">
        <f>HYPERLINK("https://youtu.be/C4mvo_Justc","watch")</f>
        <v>watch</v>
      </c>
      <c r="G259" s="17" t="s">
        <v>1434</v>
      </c>
      <c r="H259" s="18" t="s">
        <v>1559</v>
      </c>
      <c r="I259" s="26">
        <v>2.0</v>
      </c>
      <c r="J259" s="18" t="s">
        <v>1935</v>
      </c>
      <c r="K259" s="18" t="s">
        <v>2517</v>
      </c>
      <c r="L259" s="18" t="s">
        <v>1562</v>
      </c>
      <c r="M259" s="10"/>
      <c r="N259" s="10"/>
      <c r="O259" s="10"/>
      <c r="P259" s="10"/>
      <c r="Q259" s="10"/>
      <c r="R259" s="10"/>
      <c r="S259" s="10"/>
      <c r="T259" s="10"/>
      <c r="U259" s="10"/>
    </row>
    <row r="260" ht="15.75" customHeight="1">
      <c r="A260" s="8" t="s">
        <v>2518</v>
      </c>
      <c r="B260" s="8" t="s">
        <v>2519</v>
      </c>
      <c r="C260" s="8" t="s">
        <v>2520</v>
      </c>
      <c r="D260" s="15">
        <v>407.0</v>
      </c>
      <c r="E260" s="8" t="s">
        <v>2521</v>
      </c>
      <c r="F260" s="16" t="str">
        <f>HYPERLINK("https://youtu.be/qlu2os83uos","watch")</f>
        <v>watch</v>
      </c>
      <c r="G260" s="17" t="s">
        <v>226</v>
      </c>
      <c r="H260" s="18" t="s">
        <v>2353</v>
      </c>
      <c r="I260" s="10"/>
      <c r="J260" s="18" t="s">
        <v>1935</v>
      </c>
      <c r="K260" s="18" t="s">
        <v>2522</v>
      </c>
      <c r="L260" s="18" t="s">
        <v>2523</v>
      </c>
      <c r="M260" s="10"/>
      <c r="N260" s="10"/>
      <c r="O260" s="10"/>
      <c r="P260" s="10"/>
      <c r="Q260" s="10"/>
      <c r="R260" s="10"/>
      <c r="S260" s="10"/>
      <c r="T260" s="10"/>
      <c r="U260" s="10"/>
    </row>
    <row r="261" ht="15.75" customHeight="1">
      <c r="A261" s="8" t="s">
        <v>2524</v>
      </c>
      <c r="B261" s="8" t="s">
        <v>2525</v>
      </c>
      <c r="C261" s="8" t="s">
        <v>2520</v>
      </c>
      <c r="D261" s="15">
        <v>1391.0</v>
      </c>
      <c r="E261" s="8" t="s">
        <v>1013</v>
      </c>
      <c r="F261" s="16" t="str">
        <f>HYPERLINK("https://youtu.be/mDDuc-YDvbw","watch")</f>
        <v>watch</v>
      </c>
      <c r="G261" s="17" t="s">
        <v>2233</v>
      </c>
      <c r="H261" s="18" t="s">
        <v>25</v>
      </c>
      <c r="I261" s="18">
        <v>1.0</v>
      </c>
      <c r="J261" s="18" t="s">
        <v>1935</v>
      </c>
      <c r="K261" s="18" t="s">
        <v>2195</v>
      </c>
      <c r="L261" s="18" t="s">
        <v>64</v>
      </c>
      <c r="M261" s="10"/>
      <c r="N261" s="10"/>
      <c r="O261" s="10"/>
      <c r="P261" s="10"/>
      <c r="Q261" s="10"/>
      <c r="R261" s="10"/>
      <c r="S261" s="10"/>
      <c r="T261" s="10"/>
      <c r="U261" s="10"/>
    </row>
    <row r="262" ht="15.75" customHeight="1">
      <c r="A262" s="8" t="s">
        <v>2526</v>
      </c>
      <c r="B262" s="8" t="s">
        <v>2527</v>
      </c>
      <c r="C262" s="8" t="s">
        <v>2528</v>
      </c>
      <c r="D262" s="15">
        <v>1262.0</v>
      </c>
      <c r="E262" s="8" t="s">
        <v>2529</v>
      </c>
      <c r="F262" s="16" t="str">
        <f>HYPERLINK("https://youtu.be/JVrd7EVB2_8","watch")</f>
        <v>watch</v>
      </c>
      <c r="G262" s="17" t="s">
        <v>2530</v>
      </c>
      <c r="H262" s="18" t="s">
        <v>1559</v>
      </c>
      <c r="I262" s="18">
        <v>1.0</v>
      </c>
      <c r="J262" s="18" t="s">
        <v>1935</v>
      </c>
      <c r="K262" s="18" t="s">
        <v>2531</v>
      </c>
      <c r="L262" s="18" t="s">
        <v>1562</v>
      </c>
      <c r="M262" s="10"/>
      <c r="N262" s="10"/>
      <c r="O262" s="10"/>
      <c r="P262" s="10"/>
      <c r="Q262" s="10"/>
      <c r="R262" s="10"/>
      <c r="S262" s="10"/>
      <c r="T262" s="10"/>
      <c r="U262" s="10"/>
    </row>
    <row r="263" ht="15.75" customHeight="1">
      <c r="A263" s="8" t="s">
        <v>2532</v>
      </c>
      <c r="B263" s="8" t="s">
        <v>2533</v>
      </c>
      <c r="C263" s="8" t="s">
        <v>2534</v>
      </c>
      <c r="D263" s="15">
        <v>1340.0</v>
      </c>
      <c r="E263" s="8" t="s">
        <v>358</v>
      </c>
      <c r="F263" s="16" t="str">
        <f>HYPERLINK("https://youtu.be/wHaIoWhy7XE","watch")</f>
        <v>watch</v>
      </c>
      <c r="G263" s="17" t="s">
        <v>2535</v>
      </c>
      <c r="H263" s="18" t="s">
        <v>25</v>
      </c>
      <c r="I263" s="18">
        <v>5.0</v>
      </c>
      <c r="J263" s="18" t="s">
        <v>48</v>
      </c>
      <c r="K263" s="10"/>
      <c r="L263" s="18" t="s">
        <v>284</v>
      </c>
      <c r="M263" s="10"/>
      <c r="N263" s="10"/>
      <c r="O263" s="10"/>
      <c r="P263" s="10"/>
      <c r="Q263" s="10"/>
      <c r="R263" s="10"/>
      <c r="S263" s="10"/>
      <c r="T263" s="10"/>
      <c r="U263" s="10"/>
    </row>
    <row r="264" ht="15.75" customHeight="1">
      <c r="A264" s="8" t="s">
        <v>2536</v>
      </c>
      <c r="B264" s="8" t="s">
        <v>2537</v>
      </c>
      <c r="C264" s="8" t="s">
        <v>136</v>
      </c>
      <c r="D264" s="15">
        <v>1044.0</v>
      </c>
      <c r="E264" s="8" t="s">
        <v>492</v>
      </c>
      <c r="F264" s="16" t="str">
        <f>HYPERLINK("https://youtu.be/O-vFg-5cx8E","watch")</f>
        <v>watch</v>
      </c>
      <c r="G264" s="17" t="s">
        <v>81</v>
      </c>
      <c r="H264" s="18" t="s">
        <v>301</v>
      </c>
      <c r="I264" s="18">
        <v>9.0</v>
      </c>
      <c r="J264" s="18" t="s">
        <v>48</v>
      </c>
      <c r="K264" s="10"/>
      <c r="L264" s="18" t="s">
        <v>81</v>
      </c>
      <c r="M264" s="10"/>
      <c r="N264" s="10"/>
      <c r="O264" s="10"/>
      <c r="P264" s="10"/>
      <c r="Q264" s="10"/>
      <c r="R264" s="10"/>
      <c r="S264" s="10"/>
      <c r="T264" s="10"/>
      <c r="U264" s="10"/>
    </row>
    <row r="265" ht="15.75" customHeight="1">
      <c r="A265" s="8" t="s">
        <v>2538</v>
      </c>
      <c r="B265" s="8" t="s">
        <v>2539</v>
      </c>
      <c r="C265" s="8" t="s">
        <v>2540</v>
      </c>
      <c r="D265" s="15">
        <v>1456.0</v>
      </c>
      <c r="E265" s="8" t="s">
        <v>358</v>
      </c>
      <c r="F265" s="16" t="str">
        <f>HYPERLINK("https://youtu.be/yjBNG5dvopc","watch")</f>
        <v>watch</v>
      </c>
      <c r="G265" s="17" t="s">
        <v>2541</v>
      </c>
      <c r="H265" s="18" t="s">
        <v>25</v>
      </c>
      <c r="I265" s="18">
        <v>4.0</v>
      </c>
      <c r="J265" s="18" t="s">
        <v>1935</v>
      </c>
      <c r="K265" s="18" t="s">
        <v>2542</v>
      </c>
      <c r="L265" s="18" t="s">
        <v>284</v>
      </c>
      <c r="M265" s="10"/>
      <c r="N265" s="10"/>
      <c r="O265" s="10"/>
      <c r="P265" s="10"/>
      <c r="Q265" s="10"/>
      <c r="R265" s="10"/>
      <c r="S265" s="10"/>
      <c r="T265" s="10"/>
      <c r="U265" s="10"/>
    </row>
    <row r="266" ht="15.75" customHeight="1">
      <c r="A266" s="8" t="s">
        <v>2543</v>
      </c>
      <c r="B266" s="8" t="s">
        <v>2544</v>
      </c>
      <c r="C266" s="8" t="s">
        <v>2545</v>
      </c>
      <c r="D266" s="15">
        <v>342.0</v>
      </c>
      <c r="E266" s="8" t="s">
        <v>492</v>
      </c>
      <c r="F266" s="16" t="str">
        <f>HYPERLINK("https://youtu.be/9J16fnroBBM","watch")</f>
        <v>watch</v>
      </c>
      <c r="G266" s="17" t="s">
        <v>2546</v>
      </c>
      <c r="H266" s="18" t="s">
        <v>301</v>
      </c>
      <c r="I266" s="18">
        <v>8.0</v>
      </c>
      <c r="J266" s="18" t="s">
        <v>48</v>
      </c>
      <c r="K266" s="10"/>
      <c r="L266" s="18" t="s">
        <v>81</v>
      </c>
      <c r="M266" s="10"/>
      <c r="N266" s="10"/>
      <c r="O266" s="10"/>
      <c r="P266" s="10"/>
      <c r="Q266" s="10"/>
      <c r="R266" s="10"/>
      <c r="S266" s="10"/>
      <c r="T266" s="10"/>
      <c r="U266" s="10"/>
    </row>
    <row r="267" ht="15.75" customHeight="1">
      <c r="A267" s="8" t="s">
        <v>2547</v>
      </c>
      <c r="B267" s="8" t="s">
        <v>2548</v>
      </c>
      <c r="C267" s="8" t="s">
        <v>2549</v>
      </c>
      <c r="D267" s="15">
        <v>335.0</v>
      </c>
      <c r="E267" s="8" t="s">
        <v>358</v>
      </c>
      <c r="F267" s="16" t="str">
        <f>HYPERLINK("https://youtu.be/tKOXv-qSYTo","watch")</f>
        <v>watch</v>
      </c>
      <c r="G267" s="17" t="s">
        <v>2550</v>
      </c>
      <c r="H267" s="18" t="s">
        <v>25</v>
      </c>
      <c r="I267" s="18">
        <v>3.0</v>
      </c>
      <c r="J267" s="18" t="s">
        <v>1935</v>
      </c>
      <c r="K267" s="18" t="s">
        <v>485</v>
      </c>
      <c r="L267" s="18" t="s">
        <v>284</v>
      </c>
      <c r="M267" s="10"/>
      <c r="N267" s="10"/>
      <c r="O267" s="10"/>
      <c r="P267" s="10"/>
      <c r="Q267" s="10"/>
      <c r="R267" s="10"/>
      <c r="S267" s="10"/>
      <c r="T267" s="10"/>
      <c r="U267" s="10"/>
    </row>
    <row r="268" ht="15.75" customHeight="1">
      <c r="A268" s="8" t="s">
        <v>2551</v>
      </c>
      <c r="B268" s="8" t="s">
        <v>2552</v>
      </c>
      <c r="C268" s="8" t="s">
        <v>2553</v>
      </c>
      <c r="D268" s="15">
        <v>1456.0</v>
      </c>
      <c r="E268" s="8" t="s">
        <v>735</v>
      </c>
      <c r="F268" s="16" t="str">
        <f>HYPERLINK("https://youtu.be/h-KAo8SScL8","watch")</f>
        <v>watch</v>
      </c>
      <c r="G268" s="17" t="s">
        <v>2208</v>
      </c>
      <c r="H268" s="18" t="s">
        <v>301</v>
      </c>
      <c r="I268" s="18">
        <v>7.0</v>
      </c>
      <c r="J268" s="18" t="s">
        <v>48</v>
      </c>
      <c r="K268" s="10"/>
      <c r="L268" s="18" t="s">
        <v>81</v>
      </c>
      <c r="M268" s="10"/>
      <c r="N268" s="10"/>
      <c r="O268" s="10"/>
      <c r="P268" s="10"/>
      <c r="Q268" s="10"/>
      <c r="R268" s="10"/>
      <c r="S268" s="10"/>
      <c r="T268" s="10"/>
      <c r="U268" s="10"/>
    </row>
    <row r="269" ht="15.75" customHeight="1">
      <c r="A269" s="8" t="s">
        <v>2554</v>
      </c>
      <c r="B269" s="8" t="s">
        <v>2555</v>
      </c>
      <c r="C269" s="8" t="s">
        <v>2556</v>
      </c>
      <c r="D269" s="15">
        <v>569.0</v>
      </c>
      <c r="E269" s="8" t="s">
        <v>735</v>
      </c>
      <c r="F269" s="16" t="str">
        <f>HYPERLINK("https://youtu.be/lByjKSw3s-U","watch")</f>
        <v>watch</v>
      </c>
      <c r="G269" s="17" t="s">
        <v>2557</v>
      </c>
      <c r="H269" s="18" t="s">
        <v>25</v>
      </c>
      <c r="I269" s="18">
        <v>2.0</v>
      </c>
      <c r="J269" s="18" t="s">
        <v>48</v>
      </c>
      <c r="K269" s="10"/>
      <c r="L269" s="18" t="s">
        <v>240</v>
      </c>
      <c r="M269" s="10"/>
      <c r="N269" s="10"/>
      <c r="O269" s="10"/>
      <c r="P269" s="10"/>
      <c r="Q269" s="10"/>
      <c r="R269" s="10"/>
      <c r="S269" s="10"/>
      <c r="T269" s="10"/>
      <c r="U269" s="10"/>
    </row>
    <row r="270" ht="15.75" customHeight="1">
      <c r="A270" s="8" t="s">
        <v>2558</v>
      </c>
      <c r="B270" s="8" t="s">
        <v>2559</v>
      </c>
      <c r="C270" s="8" t="s">
        <v>2560</v>
      </c>
      <c r="D270" s="15">
        <v>612.0</v>
      </c>
      <c r="E270" s="8" t="s">
        <v>492</v>
      </c>
      <c r="F270" s="16" t="str">
        <f>HYPERLINK("https://youtu.be/3WxpO0osReg","watch")</f>
        <v>watch</v>
      </c>
      <c r="G270" s="17" t="s">
        <v>2261</v>
      </c>
      <c r="H270" s="18" t="s">
        <v>301</v>
      </c>
      <c r="I270" s="18">
        <v>6.0</v>
      </c>
      <c r="J270" s="18" t="s">
        <v>48</v>
      </c>
      <c r="K270" s="10"/>
      <c r="L270" s="18" t="s">
        <v>81</v>
      </c>
      <c r="M270" s="10"/>
      <c r="N270" s="10"/>
      <c r="O270" s="10"/>
      <c r="P270" s="10"/>
      <c r="Q270" s="10"/>
      <c r="R270" s="10"/>
      <c r="S270" s="10"/>
      <c r="T270" s="10"/>
      <c r="U270" s="10"/>
    </row>
    <row r="271" ht="15.75" customHeight="1">
      <c r="A271" s="8" t="s">
        <v>2561</v>
      </c>
      <c r="B271" s="8" t="s">
        <v>2562</v>
      </c>
      <c r="C271" s="8" t="s">
        <v>2563</v>
      </c>
      <c r="D271" s="15">
        <v>1915.0</v>
      </c>
      <c r="E271" s="8" t="s">
        <v>492</v>
      </c>
      <c r="F271" s="16" t="str">
        <f>HYPERLINK("https://youtu.be/mxwjJ0oXyUQ","watch")</f>
        <v>watch</v>
      </c>
      <c r="G271" s="17" t="s">
        <v>2564</v>
      </c>
      <c r="H271" s="18" t="s">
        <v>25</v>
      </c>
      <c r="I271" s="18">
        <v>1.0</v>
      </c>
      <c r="J271" s="18" t="s">
        <v>48</v>
      </c>
      <c r="K271" s="10"/>
      <c r="L271" s="18" t="s">
        <v>240</v>
      </c>
      <c r="M271" s="10"/>
      <c r="N271" s="10"/>
      <c r="O271" s="10"/>
      <c r="P271" s="10"/>
      <c r="Q271" s="10"/>
      <c r="R271" s="10"/>
      <c r="S271" s="10"/>
      <c r="T271" s="10"/>
      <c r="U271" s="10"/>
    </row>
    <row r="272" ht="15.75" customHeight="1">
      <c r="A272" s="8" t="s">
        <v>2565</v>
      </c>
      <c r="B272" s="8" t="s">
        <v>2566</v>
      </c>
      <c r="C272" s="8" t="s">
        <v>2567</v>
      </c>
      <c r="D272" s="15">
        <v>1013.0</v>
      </c>
      <c r="E272" s="8" t="s">
        <v>228</v>
      </c>
      <c r="F272" s="16" t="str">
        <f>HYPERLINK("https://youtu.be/IcQFu0SaoH4","watch")</f>
        <v>watch</v>
      </c>
      <c r="G272" s="17" t="s">
        <v>2568</v>
      </c>
      <c r="H272" s="18" t="s">
        <v>301</v>
      </c>
      <c r="I272" s="18">
        <v>5.0</v>
      </c>
      <c r="J272" s="18" t="s">
        <v>1935</v>
      </c>
      <c r="K272" s="18" t="s">
        <v>2569</v>
      </c>
      <c r="L272" s="18" t="s">
        <v>81</v>
      </c>
      <c r="M272" s="10"/>
      <c r="N272" s="10"/>
      <c r="O272" s="10"/>
      <c r="P272" s="10"/>
      <c r="Q272" s="10"/>
      <c r="R272" s="10"/>
      <c r="S272" s="10"/>
      <c r="T272" s="10"/>
      <c r="U272" s="10"/>
    </row>
    <row r="273" ht="15.75" customHeight="1">
      <c r="A273" s="8" t="s">
        <v>2570</v>
      </c>
      <c r="B273" s="8" t="s">
        <v>2571</v>
      </c>
      <c r="C273" s="8" t="s">
        <v>2572</v>
      </c>
      <c r="D273" s="15">
        <v>513.0</v>
      </c>
      <c r="E273" s="8" t="s">
        <v>535</v>
      </c>
      <c r="F273" s="16" t="str">
        <f>HYPERLINK("https://youtu.be/W-aWk5zDYlw","watch")</f>
        <v>watch</v>
      </c>
      <c r="G273" s="17" t="s">
        <v>2573</v>
      </c>
      <c r="H273" s="18" t="s">
        <v>25</v>
      </c>
      <c r="I273" s="18">
        <v>2.0</v>
      </c>
      <c r="J273" s="18" t="s">
        <v>48</v>
      </c>
      <c r="K273" s="10"/>
      <c r="L273" s="18" t="s">
        <v>299</v>
      </c>
      <c r="M273" s="10"/>
      <c r="N273" s="10"/>
      <c r="O273" s="10"/>
      <c r="P273" s="10"/>
      <c r="Q273" s="10"/>
      <c r="R273" s="10"/>
      <c r="S273" s="10"/>
      <c r="T273" s="10"/>
      <c r="U273" s="10"/>
    </row>
    <row r="274" ht="15.75" customHeight="1">
      <c r="A274" s="8" t="s">
        <v>2574</v>
      </c>
      <c r="B274" s="8" t="s">
        <v>2575</v>
      </c>
      <c r="C274" s="8" t="s">
        <v>2576</v>
      </c>
      <c r="D274" s="15">
        <v>444.0</v>
      </c>
      <c r="E274" s="8" t="s">
        <v>492</v>
      </c>
      <c r="F274" s="16" t="str">
        <f>HYPERLINK("https://youtu.be/juzo0HheF1U","watch")</f>
        <v>watch</v>
      </c>
      <c r="G274" s="17" t="s">
        <v>2577</v>
      </c>
      <c r="H274" s="18" t="s">
        <v>301</v>
      </c>
      <c r="I274" s="18">
        <v>4.0</v>
      </c>
      <c r="J274" s="18" t="s">
        <v>48</v>
      </c>
      <c r="K274" s="10"/>
      <c r="L274" s="18" t="s">
        <v>81</v>
      </c>
      <c r="M274" s="10"/>
      <c r="N274" s="10"/>
      <c r="O274" s="10"/>
      <c r="P274" s="10"/>
      <c r="Q274" s="10"/>
      <c r="R274" s="10"/>
      <c r="S274" s="10"/>
      <c r="T274" s="10"/>
      <c r="U274" s="10"/>
    </row>
    <row r="275" ht="15.75" customHeight="1">
      <c r="A275" s="8" t="s">
        <v>2578</v>
      </c>
      <c r="B275" s="8" t="s">
        <v>2579</v>
      </c>
      <c r="C275" s="8" t="s">
        <v>2580</v>
      </c>
      <c r="D275" s="15">
        <v>445.0</v>
      </c>
      <c r="E275" s="8" t="s">
        <v>492</v>
      </c>
      <c r="F275" s="16" t="str">
        <f>HYPERLINK("https://youtu.be/B5--7Dh5OEA","watch")</f>
        <v>watch</v>
      </c>
      <c r="G275" s="17" t="s">
        <v>2581</v>
      </c>
      <c r="H275" s="10"/>
      <c r="I275" s="10"/>
      <c r="J275" s="10"/>
      <c r="K275" s="10"/>
      <c r="L275" s="10"/>
      <c r="M275" s="10"/>
      <c r="N275" s="10"/>
      <c r="O275" s="10"/>
      <c r="P275" s="10"/>
      <c r="Q275" s="10"/>
      <c r="R275" s="10"/>
      <c r="S275" s="10"/>
      <c r="T275" s="10"/>
      <c r="U275" s="10"/>
    </row>
    <row r="276" ht="15.75" customHeight="1">
      <c r="A276" s="8" t="s">
        <v>2582</v>
      </c>
      <c r="B276" s="8" t="s">
        <v>2583</v>
      </c>
      <c r="C276" s="8" t="s">
        <v>2584</v>
      </c>
      <c r="D276" s="15">
        <v>1320.0</v>
      </c>
      <c r="E276" s="8" t="s">
        <v>358</v>
      </c>
      <c r="F276" s="16" t="str">
        <f>HYPERLINK("https://youtu.be/NmO2vrjJhg0","watch")</f>
        <v>watch</v>
      </c>
      <c r="G276" s="17" t="s">
        <v>2585</v>
      </c>
      <c r="H276" s="10"/>
      <c r="I276" s="10"/>
      <c r="J276" s="10"/>
      <c r="K276" s="10"/>
      <c r="L276" s="10"/>
      <c r="M276" s="10"/>
      <c r="N276" s="10"/>
      <c r="O276" s="10"/>
      <c r="P276" s="10"/>
      <c r="Q276" s="10"/>
      <c r="R276" s="10"/>
      <c r="S276" s="10"/>
      <c r="T276" s="10"/>
      <c r="U276" s="10"/>
    </row>
    <row r="277" ht="15.75" customHeight="1">
      <c r="A277" s="8" t="s">
        <v>2586</v>
      </c>
      <c r="B277" s="8" t="s">
        <v>2587</v>
      </c>
      <c r="C277" s="8" t="s">
        <v>2588</v>
      </c>
      <c r="D277" s="15">
        <v>1559.0</v>
      </c>
      <c r="E277" s="8" t="s">
        <v>358</v>
      </c>
      <c r="F277" s="16" t="str">
        <f>HYPERLINK("https://youtu.be/SJQCui3NGWw","watch")</f>
        <v>watch</v>
      </c>
      <c r="G277" s="17" t="s">
        <v>2589</v>
      </c>
      <c r="H277" s="10"/>
      <c r="I277" s="10"/>
      <c r="J277" s="10"/>
      <c r="K277" s="10"/>
      <c r="L277" s="10"/>
      <c r="M277" s="10"/>
      <c r="N277" s="10"/>
      <c r="O277" s="10"/>
      <c r="P277" s="10"/>
      <c r="Q277" s="10"/>
      <c r="R277" s="10"/>
      <c r="S277" s="10"/>
      <c r="T277" s="10"/>
      <c r="U277" s="10"/>
    </row>
    <row r="278" ht="15.75" customHeight="1">
      <c r="A278" s="8" t="s">
        <v>2590</v>
      </c>
      <c r="B278" s="8" t="s">
        <v>2591</v>
      </c>
      <c r="C278" s="8" t="s">
        <v>2592</v>
      </c>
      <c r="D278" s="15">
        <v>1428.0</v>
      </c>
      <c r="E278" s="8" t="s">
        <v>757</v>
      </c>
      <c r="F278" s="16" t="str">
        <f>HYPERLINK("https://youtu.be/F9S695pYxZ8","watch")</f>
        <v>watch</v>
      </c>
      <c r="G278" s="17" t="s">
        <v>2593</v>
      </c>
      <c r="H278" s="10"/>
      <c r="I278" s="10"/>
      <c r="J278" s="10"/>
      <c r="K278" s="10"/>
      <c r="L278" s="10"/>
      <c r="M278" s="10"/>
      <c r="N278" s="10"/>
      <c r="O278" s="10"/>
      <c r="P278" s="10"/>
      <c r="Q278" s="10"/>
      <c r="R278" s="10"/>
      <c r="S278" s="10"/>
      <c r="T278" s="10"/>
      <c r="U278" s="10"/>
    </row>
    <row r="279" ht="15.75" customHeight="1">
      <c r="A279" s="8" t="s">
        <v>2594</v>
      </c>
      <c r="B279" s="8" t="s">
        <v>2595</v>
      </c>
      <c r="C279" s="8" t="s">
        <v>2596</v>
      </c>
      <c r="D279" s="15">
        <v>414.0</v>
      </c>
      <c r="E279" s="8" t="s">
        <v>535</v>
      </c>
      <c r="F279" s="16" t="str">
        <f>HYPERLINK("https://youtu.be/Jtqb7ZpQXos","watch")</f>
        <v>watch</v>
      </c>
      <c r="G279" s="17" t="s">
        <v>2597</v>
      </c>
      <c r="H279" s="10"/>
      <c r="I279" s="10"/>
      <c r="J279" s="10"/>
      <c r="K279" s="10"/>
      <c r="L279" s="10"/>
      <c r="M279" s="10"/>
      <c r="N279" s="10"/>
      <c r="O279" s="10"/>
      <c r="P279" s="10"/>
      <c r="Q279" s="10"/>
      <c r="R279" s="10"/>
      <c r="S279" s="10"/>
      <c r="T279" s="10"/>
      <c r="U279" s="10"/>
    </row>
    <row r="280" ht="15.75" customHeight="1">
      <c r="A280" s="8" t="s">
        <v>2598</v>
      </c>
      <c r="B280" s="8" t="s">
        <v>2599</v>
      </c>
      <c r="C280" s="8" t="s">
        <v>2600</v>
      </c>
      <c r="D280" s="15">
        <v>1568.0</v>
      </c>
      <c r="E280" s="8" t="s">
        <v>757</v>
      </c>
      <c r="F280" s="16" t="str">
        <f>HYPERLINK("https://youtu.be/-e9F0ufKpIQ","watch")</f>
        <v>watch</v>
      </c>
      <c r="G280" s="17" t="s">
        <v>1709</v>
      </c>
      <c r="H280" s="10"/>
      <c r="I280" s="10"/>
      <c r="J280" s="10"/>
      <c r="K280" s="10"/>
      <c r="L280" s="10"/>
      <c r="M280" s="10"/>
      <c r="N280" s="10"/>
      <c r="O280" s="10"/>
      <c r="P280" s="10"/>
      <c r="Q280" s="10"/>
      <c r="R280" s="10"/>
      <c r="S280" s="10"/>
      <c r="T280" s="10"/>
      <c r="U280" s="10"/>
    </row>
    <row r="281" ht="15.75" customHeight="1">
      <c r="A281" s="8" t="s">
        <v>2601</v>
      </c>
      <c r="B281" s="8" t="s">
        <v>2602</v>
      </c>
      <c r="C281" s="8" t="s">
        <v>2603</v>
      </c>
      <c r="D281" s="15">
        <v>884.0</v>
      </c>
      <c r="E281" s="8" t="s">
        <v>2306</v>
      </c>
      <c r="F281" s="16" t="str">
        <f>HYPERLINK("https://youtu.be/j6O6KdblfeY","watch")</f>
        <v>watch</v>
      </c>
      <c r="G281" s="17" t="s">
        <v>162</v>
      </c>
      <c r="H281" s="10"/>
      <c r="I281" s="10"/>
      <c r="J281" s="10"/>
      <c r="K281" s="10"/>
      <c r="L281" s="10"/>
      <c r="M281" s="10"/>
      <c r="N281" s="10"/>
      <c r="O281" s="10"/>
      <c r="P281" s="10"/>
      <c r="Q281" s="10"/>
      <c r="R281" s="10"/>
      <c r="S281" s="10"/>
      <c r="T281" s="10"/>
      <c r="U281" s="10"/>
    </row>
    <row r="282" ht="15.75" customHeight="1">
      <c r="A282" s="8" t="s">
        <v>2604</v>
      </c>
      <c r="B282" s="8" t="s">
        <v>2605</v>
      </c>
      <c r="C282" s="8" t="s">
        <v>2606</v>
      </c>
      <c r="D282" s="15">
        <v>389.0</v>
      </c>
      <c r="E282" s="8" t="s">
        <v>1791</v>
      </c>
      <c r="F282" s="16" t="str">
        <f>HYPERLINK("https://youtu.be/NWaiWG7vknM","watch")</f>
        <v>watch</v>
      </c>
      <c r="G282" s="17" t="s">
        <v>2607</v>
      </c>
      <c r="H282" s="10"/>
      <c r="I282" s="10"/>
      <c r="J282" s="10"/>
      <c r="K282" s="10"/>
      <c r="L282" s="10"/>
      <c r="M282" s="10"/>
      <c r="N282" s="10"/>
      <c r="O282" s="10"/>
      <c r="P282" s="10"/>
      <c r="Q282" s="10"/>
      <c r="R282" s="10"/>
      <c r="S282" s="10"/>
      <c r="T282" s="10"/>
      <c r="U282" s="10"/>
    </row>
    <row r="283" ht="15.75" customHeight="1">
      <c r="A283" s="8" t="s">
        <v>2608</v>
      </c>
      <c r="B283" s="8" t="s">
        <v>2609</v>
      </c>
      <c r="C283" s="8" t="s">
        <v>2610</v>
      </c>
      <c r="D283" s="15">
        <v>1392.0</v>
      </c>
      <c r="E283" s="8" t="s">
        <v>2287</v>
      </c>
      <c r="F283" s="16" t="str">
        <f>HYPERLINK("https://youtu.be/SOQUDUMboVU","watch")</f>
        <v>watch</v>
      </c>
      <c r="G283" s="17" t="s">
        <v>2611</v>
      </c>
      <c r="H283" s="10"/>
      <c r="I283" s="10"/>
      <c r="J283" s="10"/>
      <c r="K283" s="10"/>
      <c r="L283" s="10"/>
      <c r="M283" s="10"/>
      <c r="N283" s="10"/>
      <c r="O283" s="10"/>
      <c r="P283" s="10"/>
      <c r="Q283" s="10"/>
      <c r="R283" s="10"/>
      <c r="S283" s="10"/>
      <c r="T283" s="10"/>
      <c r="U283" s="10"/>
    </row>
    <row r="284" ht="15.75" customHeight="1">
      <c r="A284" s="8" t="s">
        <v>2612</v>
      </c>
      <c r="B284" s="8" t="s">
        <v>2613</v>
      </c>
      <c r="C284" s="8" t="s">
        <v>2614</v>
      </c>
      <c r="D284" s="15">
        <v>144.0</v>
      </c>
      <c r="E284" s="8" t="s">
        <v>535</v>
      </c>
      <c r="F284" s="16" t="str">
        <f>HYPERLINK("https://youtu.be/XaXGDiOpGJs","watch")</f>
        <v>watch</v>
      </c>
      <c r="G284" s="17" t="s">
        <v>2615</v>
      </c>
      <c r="H284" s="10"/>
      <c r="I284" s="10"/>
      <c r="J284" s="10"/>
      <c r="K284" s="10"/>
      <c r="L284" s="10"/>
      <c r="M284" s="10"/>
      <c r="N284" s="10"/>
      <c r="O284" s="10"/>
      <c r="P284" s="10"/>
      <c r="Q284" s="10"/>
      <c r="R284" s="10"/>
      <c r="S284" s="10"/>
      <c r="T284" s="10"/>
      <c r="U284" s="10"/>
    </row>
    <row r="285" ht="15.75" customHeight="1">
      <c r="A285" s="8" t="s">
        <v>2616</v>
      </c>
      <c r="B285" s="8" t="s">
        <v>2617</v>
      </c>
      <c r="C285" s="8" t="s">
        <v>2618</v>
      </c>
      <c r="D285" s="15">
        <v>393.0</v>
      </c>
      <c r="E285" s="8" t="s">
        <v>1819</v>
      </c>
      <c r="F285" s="16" t="str">
        <f>HYPERLINK("https://youtu.be/pof6Ph34E6w","watch")</f>
        <v>watch</v>
      </c>
      <c r="G285" s="10"/>
      <c r="H285" s="10"/>
      <c r="I285" s="10"/>
      <c r="J285" s="10"/>
      <c r="K285" s="10"/>
      <c r="L285" s="10"/>
      <c r="M285" s="10"/>
      <c r="N285" s="10"/>
      <c r="O285" s="10"/>
      <c r="P285" s="10"/>
      <c r="Q285" s="10"/>
      <c r="R285" s="10"/>
      <c r="S285" s="10"/>
      <c r="T285" s="10"/>
      <c r="U285" s="10"/>
    </row>
    <row r="286" ht="15.75" customHeight="1">
      <c r="A286" s="8" t="s">
        <v>2619</v>
      </c>
      <c r="B286" s="8" t="s">
        <v>2620</v>
      </c>
      <c r="C286" s="8" t="s">
        <v>2621</v>
      </c>
      <c r="D286" s="15">
        <v>163.0</v>
      </c>
      <c r="E286" s="8" t="s">
        <v>492</v>
      </c>
      <c r="F286" s="16" t="str">
        <f>HYPERLINK("https://youtu.be/EvVnOpgwSmo","watch")</f>
        <v>watch</v>
      </c>
      <c r="G286" s="17" t="s">
        <v>2622</v>
      </c>
      <c r="H286" s="10"/>
      <c r="I286" s="10"/>
      <c r="J286" s="10"/>
      <c r="K286" s="10"/>
      <c r="L286" s="10"/>
      <c r="M286" s="10"/>
      <c r="N286" s="10"/>
      <c r="O286" s="10"/>
      <c r="P286" s="10"/>
      <c r="Q286" s="10"/>
      <c r="R286" s="10"/>
      <c r="S286" s="10"/>
      <c r="T286" s="10"/>
      <c r="U286" s="10"/>
    </row>
    <row r="287" ht="15.75" customHeight="1">
      <c r="A287" s="8" t="s">
        <v>2623</v>
      </c>
      <c r="B287" s="8" t="s">
        <v>2624</v>
      </c>
      <c r="C287" s="8" t="s">
        <v>2625</v>
      </c>
      <c r="D287" s="15">
        <v>329.0</v>
      </c>
      <c r="E287" s="8" t="s">
        <v>409</v>
      </c>
      <c r="F287" s="16" t="str">
        <f>HYPERLINK("https://youtu.be/mbzWBfNI-Qs","watch")</f>
        <v>watch</v>
      </c>
      <c r="G287" s="10"/>
      <c r="H287" s="10"/>
      <c r="I287" s="10"/>
      <c r="J287" s="10"/>
      <c r="K287" s="10"/>
      <c r="L287" s="10"/>
      <c r="M287" s="10"/>
      <c r="N287" s="10"/>
      <c r="O287" s="10"/>
      <c r="P287" s="10"/>
      <c r="Q287" s="10"/>
      <c r="R287" s="10"/>
      <c r="S287" s="10"/>
      <c r="T287" s="10"/>
      <c r="U287" s="10"/>
    </row>
    <row r="288" ht="15.75" customHeight="1">
      <c r="A288" s="8" t="s">
        <v>2626</v>
      </c>
      <c r="B288" s="8" t="s">
        <v>2627</v>
      </c>
      <c r="C288" s="8" t="s">
        <v>2628</v>
      </c>
      <c r="D288" s="15">
        <v>474.0</v>
      </c>
      <c r="E288" s="8" t="s">
        <v>492</v>
      </c>
      <c r="F288" s="16" t="str">
        <f>HYPERLINK("https://youtu.be/IuEb3qtjflI","watch")</f>
        <v>watch</v>
      </c>
      <c r="G288" s="17" t="s">
        <v>2629</v>
      </c>
      <c r="H288" s="10"/>
      <c r="I288" s="10"/>
      <c r="J288" s="10"/>
      <c r="K288" s="10"/>
      <c r="L288" s="10"/>
      <c r="M288" s="10"/>
      <c r="N288" s="10"/>
      <c r="O288" s="10"/>
      <c r="P288" s="10"/>
      <c r="Q288" s="10"/>
      <c r="R288" s="10"/>
      <c r="S288" s="10"/>
      <c r="T288" s="10"/>
      <c r="U288" s="10"/>
    </row>
    <row r="289" ht="15.75" customHeight="1">
      <c r="A289" s="8" t="s">
        <v>2630</v>
      </c>
      <c r="B289" s="8" t="s">
        <v>2631</v>
      </c>
      <c r="C289" s="8" t="s">
        <v>2632</v>
      </c>
      <c r="D289" s="15">
        <v>130.0</v>
      </c>
      <c r="E289" s="8" t="s">
        <v>987</v>
      </c>
      <c r="F289" s="16" t="str">
        <f>HYPERLINK("https://youtu.be/8xqvY3OzugE","watch")</f>
        <v>watch</v>
      </c>
      <c r="G289" s="17" t="s">
        <v>2611</v>
      </c>
      <c r="H289" s="10"/>
      <c r="I289" s="10"/>
      <c r="J289" s="10"/>
      <c r="K289" s="10"/>
      <c r="L289" s="10"/>
      <c r="M289" s="10"/>
      <c r="N289" s="10"/>
      <c r="O289" s="10"/>
      <c r="P289" s="10"/>
      <c r="Q289" s="10"/>
      <c r="R289" s="10"/>
      <c r="S289" s="10"/>
      <c r="T289" s="10"/>
      <c r="U289" s="10"/>
    </row>
    <row r="290" ht="15.75" customHeight="1">
      <c r="A290" s="8" t="s">
        <v>2633</v>
      </c>
      <c r="B290" s="8" t="s">
        <v>2634</v>
      </c>
      <c r="C290" s="8" t="s">
        <v>2635</v>
      </c>
      <c r="D290" s="15">
        <v>23.0</v>
      </c>
      <c r="E290" s="8" t="s">
        <v>2636</v>
      </c>
      <c r="F290" s="16" t="str">
        <f>HYPERLINK("https://youtu.be/F9mAQqKd6r8","watch")</f>
        <v>watch</v>
      </c>
      <c r="G290" s="17" t="s">
        <v>147</v>
      </c>
      <c r="H290" s="10"/>
      <c r="I290" s="10"/>
      <c r="J290" s="10"/>
      <c r="K290" s="10"/>
      <c r="L290" s="10"/>
      <c r="M290" s="10"/>
      <c r="N290" s="10"/>
      <c r="O290" s="10"/>
      <c r="P290" s="10"/>
      <c r="Q290" s="10"/>
      <c r="R290" s="10"/>
      <c r="S290" s="10"/>
      <c r="T290" s="10"/>
      <c r="U290" s="10"/>
    </row>
    <row r="291" ht="15.75" customHeight="1">
      <c r="A291" s="8" t="s">
        <v>2637</v>
      </c>
      <c r="B291" s="8" t="s">
        <v>2638</v>
      </c>
      <c r="C291" s="8" t="s">
        <v>2639</v>
      </c>
      <c r="D291" s="15">
        <v>217.0</v>
      </c>
      <c r="E291" s="8" t="s">
        <v>2311</v>
      </c>
      <c r="F291" s="16" t="str">
        <f>HYPERLINK("https://youtu.be/brj3GukGFAE","watch")</f>
        <v>watch</v>
      </c>
      <c r="G291" s="17" t="s">
        <v>258</v>
      </c>
      <c r="H291" s="10"/>
      <c r="I291" s="10"/>
      <c r="J291" s="10"/>
      <c r="K291" s="10"/>
      <c r="L291" s="10"/>
      <c r="M291" s="10"/>
      <c r="N291" s="10"/>
      <c r="O291" s="10"/>
      <c r="P291" s="10"/>
      <c r="Q291" s="10"/>
      <c r="R291" s="10"/>
      <c r="S291" s="10"/>
      <c r="T291" s="10"/>
      <c r="U291" s="10"/>
    </row>
    <row r="292" ht="15.75" customHeight="1">
      <c r="A292" s="8" t="s">
        <v>2640</v>
      </c>
      <c r="B292" s="8" t="s">
        <v>2641</v>
      </c>
      <c r="C292" s="8" t="s">
        <v>2642</v>
      </c>
      <c r="D292" s="15">
        <v>1196.0</v>
      </c>
      <c r="E292" s="8" t="s">
        <v>1586</v>
      </c>
      <c r="F292" s="16" t="str">
        <f>HYPERLINK("https://youtu.be/zIn3mWKwkyg","watch")</f>
        <v>watch</v>
      </c>
      <c r="G292" s="10"/>
      <c r="H292" s="10"/>
      <c r="I292" s="10"/>
      <c r="J292" s="10"/>
      <c r="K292" s="10"/>
      <c r="L292" s="10"/>
      <c r="M292" s="10"/>
      <c r="N292" s="10"/>
      <c r="O292" s="10"/>
      <c r="P292" s="10"/>
      <c r="Q292" s="10"/>
      <c r="R292" s="10"/>
      <c r="S292" s="10"/>
      <c r="T292" s="10"/>
      <c r="U292" s="10"/>
    </row>
    <row r="293" ht="15.75" customHeight="1">
      <c r="A293" s="8" t="s">
        <v>2643</v>
      </c>
      <c r="B293" s="8" t="s">
        <v>2644</v>
      </c>
      <c r="C293" s="8" t="s">
        <v>2645</v>
      </c>
      <c r="D293" s="15">
        <v>531.0</v>
      </c>
      <c r="E293" s="8" t="s">
        <v>2311</v>
      </c>
      <c r="F293" s="16" t="str">
        <f>HYPERLINK("https://youtu.be/AqZBxDu2wkc","watch")</f>
        <v>watch</v>
      </c>
      <c r="G293" s="17" t="s">
        <v>199</v>
      </c>
      <c r="H293" s="10"/>
      <c r="I293" s="10"/>
      <c r="J293" s="10"/>
      <c r="K293" s="10"/>
      <c r="L293" s="10"/>
      <c r="M293" s="10"/>
      <c r="N293" s="10"/>
      <c r="O293" s="10"/>
      <c r="P293" s="10"/>
      <c r="Q293" s="10"/>
      <c r="R293" s="10"/>
      <c r="S293" s="10"/>
      <c r="T293" s="10"/>
      <c r="U293" s="10"/>
    </row>
    <row r="294" ht="15.75" customHeight="1">
      <c r="A294" s="8" t="s">
        <v>2646</v>
      </c>
      <c r="B294" s="8" t="s">
        <v>2647</v>
      </c>
      <c r="C294" s="8" t="s">
        <v>2648</v>
      </c>
      <c r="D294" s="15">
        <v>626.0</v>
      </c>
      <c r="E294" s="8" t="s">
        <v>2070</v>
      </c>
      <c r="F294" s="16" t="str">
        <f>HYPERLINK("https://youtu.be/qdzDD_kM4Uk","watch")</f>
        <v>watch</v>
      </c>
      <c r="G294" s="17" t="s">
        <v>2649</v>
      </c>
      <c r="H294" s="10"/>
      <c r="I294" s="10"/>
      <c r="J294" s="10"/>
      <c r="K294" s="10"/>
      <c r="L294" s="10"/>
      <c r="M294" s="10"/>
      <c r="N294" s="10"/>
      <c r="O294" s="10"/>
      <c r="P294" s="10"/>
      <c r="Q294" s="10"/>
      <c r="R294" s="10"/>
      <c r="S294" s="10"/>
      <c r="T294" s="10"/>
      <c r="U294" s="10"/>
    </row>
    <row r="295" ht="15.75" customHeight="1">
      <c r="A295" s="8" t="s">
        <v>2650</v>
      </c>
      <c r="B295" s="8" t="s">
        <v>2651</v>
      </c>
      <c r="C295" s="8" t="s">
        <v>2652</v>
      </c>
      <c r="D295" s="15">
        <v>392.0</v>
      </c>
      <c r="E295" s="8" t="s">
        <v>735</v>
      </c>
      <c r="F295" s="16" t="str">
        <f>HYPERLINK("https://youtu.be/SQLDjKwVPk4","watch")</f>
        <v>watch</v>
      </c>
      <c r="G295" s="17" t="s">
        <v>2653</v>
      </c>
      <c r="H295" s="10"/>
      <c r="I295" s="10"/>
      <c r="J295" s="10"/>
      <c r="K295" s="10"/>
      <c r="L295" s="10"/>
      <c r="M295" s="10"/>
      <c r="N295" s="10"/>
      <c r="O295" s="10"/>
      <c r="P295" s="10"/>
      <c r="Q295" s="10"/>
      <c r="R295" s="10"/>
      <c r="S295" s="10"/>
      <c r="T295" s="10"/>
      <c r="U295" s="10"/>
    </row>
    <row r="296" ht="15.75" customHeight="1">
      <c r="A296" s="8" t="s">
        <v>2654</v>
      </c>
      <c r="B296" s="8" t="s">
        <v>2655</v>
      </c>
      <c r="C296" s="8" t="s">
        <v>2656</v>
      </c>
      <c r="D296" s="15">
        <v>262.0</v>
      </c>
      <c r="E296" s="8" t="s">
        <v>1791</v>
      </c>
      <c r="F296" s="16" t="str">
        <f>HYPERLINK("https://youtu.be/n_3lk9V4L64","watch")</f>
        <v>watch</v>
      </c>
      <c r="G296" s="17" t="s">
        <v>2577</v>
      </c>
      <c r="H296" s="10"/>
      <c r="I296" s="10"/>
      <c r="J296" s="10"/>
      <c r="K296" s="10"/>
      <c r="L296" s="10"/>
      <c r="M296" s="10"/>
      <c r="N296" s="10"/>
      <c r="O296" s="10"/>
      <c r="P296" s="10"/>
      <c r="Q296" s="10"/>
      <c r="R296" s="10"/>
      <c r="S296" s="10"/>
      <c r="T296" s="10"/>
      <c r="U296" s="10"/>
    </row>
    <row r="297" ht="15.75" customHeight="1">
      <c r="A297" s="8" t="s">
        <v>2657</v>
      </c>
      <c r="B297" s="8" t="s">
        <v>2658</v>
      </c>
      <c r="C297" s="8" t="s">
        <v>2659</v>
      </c>
      <c r="D297" s="15">
        <v>350.0</v>
      </c>
      <c r="E297" s="8" t="s">
        <v>358</v>
      </c>
      <c r="F297" s="16" t="str">
        <f>HYPERLINK("https://youtu.be/f9qJ_M3ot3k","watch")</f>
        <v>watch</v>
      </c>
      <c r="G297" s="17" t="s">
        <v>274</v>
      </c>
      <c r="H297" s="10"/>
      <c r="I297" s="10"/>
      <c r="J297" s="10"/>
      <c r="K297" s="10"/>
      <c r="L297" s="10"/>
      <c r="M297" s="10"/>
      <c r="N297" s="10"/>
      <c r="O297" s="10"/>
      <c r="P297" s="10"/>
      <c r="Q297" s="10"/>
      <c r="R297" s="10"/>
      <c r="S297" s="10"/>
      <c r="T297" s="10"/>
      <c r="U297" s="10"/>
    </row>
    <row r="298" ht="15.75" customHeight="1">
      <c r="A298" s="8" t="s">
        <v>2660</v>
      </c>
      <c r="B298" s="8" t="s">
        <v>2661</v>
      </c>
      <c r="C298" s="8" t="s">
        <v>2662</v>
      </c>
      <c r="D298" s="15">
        <v>252.0</v>
      </c>
      <c r="E298" s="8" t="s">
        <v>1791</v>
      </c>
      <c r="F298" s="16" t="str">
        <f>HYPERLINK("https://youtu.be/LROQ-vFl4Hs","watch")</f>
        <v>watch</v>
      </c>
      <c r="G298" s="17" t="s">
        <v>2585</v>
      </c>
      <c r="H298" s="10"/>
      <c r="I298" s="10"/>
      <c r="J298" s="10"/>
      <c r="K298" s="10"/>
      <c r="L298" s="10"/>
      <c r="M298" s="10"/>
      <c r="N298" s="10"/>
      <c r="O298" s="10"/>
      <c r="P298" s="10"/>
      <c r="Q298" s="10"/>
      <c r="R298" s="10"/>
      <c r="S298" s="10"/>
      <c r="T298" s="10"/>
      <c r="U298" s="10"/>
    </row>
    <row r="299" ht="15.75" customHeight="1">
      <c r="A299" s="8" t="s">
        <v>2663</v>
      </c>
      <c r="B299" s="8" t="s">
        <v>2664</v>
      </c>
      <c r="C299" s="8" t="s">
        <v>2665</v>
      </c>
      <c r="D299" s="15">
        <v>288.0</v>
      </c>
      <c r="E299" s="8" t="s">
        <v>1819</v>
      </c>
      <c r="F299" s="16" t="str">
        <f>HYPERLINK("https://youtu.be/RMastm9Bosw","watch")</f>
        <v>watch</v>
      </c>
      <c r="G299" s="17" t="s">
        <v>98</v>
      </c>
      <c r="H299" s="10"/>
      <c r="I299" s="10"/>
      <c r="J299" s="10"/>
      <c r="K299" s="10"/>
      <c r="L299" s="10"/>
      <c r="M299" s="10"/>
      <c r="N299" s="10"/>
      <c r="O299" s="10"/>
      <c r="P299" s="10"/>
      <c r="Q299" s="10"/>
      <c r="R299" s="10"/>
      <c r="S299" s="10"/>
      <c r="T299" s="10"/>
      <c r="U299" s="10"/>
    </row>
    <row r="300" ht="15.75" customHeight="1">
      <c r="A300" s="8" t="s">
        <v>2666</v>
      </c>
      <c r="B300" s="8" t="s">
        <v>2667</v>
      </c>
      <c r="C300" s="8" t="s">
        <v>2668</v>
      </c>
      <c r="D300" s="15">
        <v>1203.0</v>
      </c>
      <c r="E300" s="8" t="s">
        <v>1972</v>
      </c>
      <c r="F300" s="16" t="str">
        <f>HYPERLINK("https://youtu.be/vzYuzHFbueo","watch")</f>
        <v>watch</v>
      </c>
      <c r="G300" s="17" t="s">
        <v>2593</v>
      </c>
      <c r="H300" s="10"/>
      <c r="I300" s="10"/>
      <c r="J300" s="10"/>
      <c r="K300" s="10"/>
      <c r="L300" s="10"/>
      <c r="M300" s="10"/>
      <c r="N300" s="10"/>
      <c r="O300" s="10"/>
      <c r="P300" s="10"/>
      <c r="Q300" s="10"/>
      <c r="R300" s="10"/>
      <c r="S300" s="10"/>
      <c r="T300" s="10"/>
      <c r="U300" s="10"/>
    </row>
    <row r="301" ht="15.75" customHeight="1">
      <c r="A301" s="8" t="s">
        <v>2669</v>
      </c>
      <c r="B301" s="8" t="s">
        <v>2670</v>
      </c>
      <c r="C301" s="8" t="s">
        <v>2671</v>
      </c>
      <c r="D301" s="15">
        <v>1541.0</v>
      </c>
      <c r="E301" s="8" t="s">
        <v>2672</v>
      </c>
      <c r="F301" s="16" t="str">
        <f>HYPERLINK("https://youtu.be/Ab81MNFnDLw","watch")</f>
        <v>watch</v>
      </c>
      <c r="G301" s="17" t="s">
        <v>147</v>
      </c>
      <c r="H301" s="10"/>
      <c r="I301" s="10"/>
      <c r="J301" s="10"/>
      <c r="K301" s="10"/>
      <c r="L301" s="10"/>
      <c r="M301" s="10"/>
      <c r="N301" s="10"/>
      <c r="O301" s="10"/>
      <c r="P301" s="10"/>
      <c r="Q301" s="10"/>
      <c r="R301" s="10"/>
      <c r="S301" s="10"/>
      <c r="T301" s="10"/>
      <c r="U301" s="10"/>
    </row>
    <row r="302" ht="15.75" customHeight="1">
      <c r="A302" s="8" t="s">
        <v>1219</v>
      </c>
      <c r="B302" s="8" t="s">
        <v>2673</v>
      </c>
      <c r="C302" s="8" t="s">
        <v>2674</v>
      </c>
      <c r="D302" s="15">
        <v>779.0</v>
      </c>
      <c r="E302" s="8" t="s">
        <v>1791</v>
      </c>
      <c r="F302" s="16" t="str">
        <f>HYPERLINK("https://youtu.be/3dKWTVbCH3I","watch")</f>
        <v>watch</v>
      </c>
      <c r="G302" s="17" t="s">
        <v>1709</v>
      </c>
      <c r="H302" s="10"/>
      <c r="I302" s="10"/>
      <c r="J302" s="10" t="s">
        <v>28</v>
      </c>
      <c r="K302" s="10" t="s">
        <v>2675</v>
      </c>
      <c r="L302" s="10"/>
      <c r="M302" s="10"/>
      <c r="N302" s="10"/>
      <c r="O302" s="10"/>
      <c r="P302" s="10"/>
      <c r="Q302" s="10"/>
      <c r="R302" s="10"/>
      <c r="S302" s="10"/>
      <c r="T302" s="10"/>
      <c r="U302" s="10"/>
    </row>
    <row r="303" ht="15.75" customHeight="1">
      <c r="A303" s="8" t="s">
        <v>2676</v>
      </c>
      <c r="B303" s="8" t="s">
        <v>2677</v>
      </c>
      <c r="C303" s="8" t="s">
        <v>2678</v>
      </c>
      <c r="D303" s="15">
        <v>342.0</v>
      </c>
      <c r="E303" s="8" t="s">
        <v>358</v>
      </c>
      <c r="F303" s="16" t="str">
        <f>HYPERLINK("https://youtu.be/wMDMN2emLCM","watch")</f>
        <v>watch</v>
      </c>
      <c r="G303" s="10"/>
      <c r="H303" s="10"/>
      <c r="I303" s="10"/>
      <c r="J303" s="10" t="s">
        <v>48</v>
      </c>
      <c r="K303" s="10"/>
      <c r="L303" s="10"/>
      <c r="M303" s="10"/>
      <c r="N303" s="10"/>
      <c r="O303" s="10"/>
      <c r="P303" s="10"/>
      <c r="Q303" s="10"/>
      <c r="R303" s="10"/>
      <c r="S303" s="10"/>
      <c r="T303" s="10"/>
      <c r="U303" s="10"/>
    </row>
    <row r="304" ht="15.75" customHeight="1">
      <c r="A304" s="8" t="s">
        <v>2679</v>
      </c>
      <c r="B304" s="8" t="s">
        <v>2680</v>
      </c>
      <c r="C304" s="8" t="s">
        <v>2681</v>
      </c>
      <c r="D304" s="15">
        <v>454.0</v>
      </c>
      <c r="E304" s="8" t="s">
        <v>685</v>
      </c>
      <c r="F304" s="16" t="str">
        <f>HYPERLINK("https://youtu.be/QADrkuqf9pg","watch")</f>
        <v>watch</v>
      </c>
      <c r="G304" s="10"/>
      <c r="H304" s="10"/>
      <c r="I304" s="10"/>
      <c r="J304" s="10" t="s">
        <v>48</v>
      </c>
      <c r="K304" s="10"/>
      <c r="L304" s="10"/>
      <c r="M304" s="10"/>
      <c r="N304" s="10"/>
      <c r="O304" s="10"/>
      <c r="P304" s="10"/>
      <c r="Q304" s="10"/>
      <c r="R304" s="10"/>
      <c r="S304" s="10"/>
      <c r="T304" s="10"/>
      <c r="U304" s="10"/>
    </row>
    <row r="305" ht="15.75" customHeight="1">
      <c r="A305" s="8" t="s">
        <v>2682</v>
      </c>
      <c r="B305" s="8" t="s">
        <v>2683</v>
      </c>
      <c r="C305" s="8" t="s">
        <v>2684</v>
      </c>
      <c r="D305" s="15">
        <v>2411.0</v>
      </c>
      <c r="E305" s="8" t="s">
        <v>1972</v>
      </c>
      <c r="F305" s="16" t="str">
        <f>HYPERLINK("https://youtu.be/jO7K2zX6Rlg","watch")</f>
        <v>watch</v>
      </c>
      <c r="G305" s="17" t="s">
        <v>274</v>
      </c>
      <c r="H305" s="10"/>
      <c r="I305" s="10"/>
      <c r="J305" s="10" t="s">
        <v>48</v>
      </c>
      <c r="K305" s="10"/>
      <c r="L305" s="10"/>
      <c r="M305" s="10"/>
      <c r="N305" s="10"/>
      <c r="O305" s="10"/>
      <c r="P305" s="10"/>
      <c r="Q305" s="10"/>
      <c r="R305" s="10"/>
      <c r="S305" s="10"/>
      <c r="T305" s="10"/>
      <c r="U305" s="10"/>
    </row>
    <row r="306" ht="15.75" customHeight="1">
      <c r="A306" s="8" t="s">
        <v>2685</v>
      </c>
      <c r="B306" s="8" t="s">
        <v>2686</v>
      </c>
      <c r="C306" s="8" t="s">
        <v>2687</v>
      </c>
      <c r="D306" s="15">
        <v>630.0</v>
      </c>
      <c r="E306" s="8" t="s">
        <v>685</v>
      </c>
      <c r="F306" s="16" t="str">
        <f>HYPERLINK("https://youtu.be/8jKHh-P7P7M","watch")</f>
        <v>watch</v>
      </c>
      <c r="G306" s="17" t="s">
        <v>248</v>
      </c>
      <c r="H306" s="10"/>
      <c r="I306" s="10"/>
      <c r="J306" s="10" t="s">
        <v>48</v>
      </c>
      <c r="K306" s="10"/>
      <c r="L306" s="10"/>
      <c r="M306" s="10"/>
      <c r="N306" s="10"/>
      <c r="O306" s="10"/>
      <c r="P306" s="10"/>
      <c r="Q306" s="10"/>
      <c r="R306" s="10"/>
      <c r="S306" s="10"/>
      <c r="T306" s="10"/>
      <c r="U306" s="10"/>
    </row>
    <row r="307" ht="15.75" customHeight="1">
      <c r="A307" s="8" t="s">
        <v>1224</v>
      </c>
      <c r="B307" s="8" t="s">
        <v>2688</v>
      </c>
      <c r="C307" s="8" t="s">
        <v>2689</v>
      </c>
      <c r="D307" s="15">
        <v>947.0</v>
      </c>
      <c r="E307" s="8" t="s">
        <v>2131</v>
      </c>
      <c r="F307" s="16" t="str">
        <f>HYPERLINK("https://youtu.be/hLr5iThoO2k","watch")</f>
        <v>watch</v>
      </c>
      <c r="G307" s="17" t="s">
        <v>2690</v>
      </c>
      <c r="H307" s="10"/>
      <c r="I307" s="10"/>
      <c r="J307" s="10" t="s">
        <v>28</v>
      </c>
      <c r="K307" s="10" t="s">
        <v>2691</v>
      </c>
      <c r="L307" s="10"/>
      <c r="M307" s="10"/>
      <c r="N307" s="10"/>
      <c r="O307" s="10"/>
      <c r="P307" s="10"/>
      <c r="Q307" s="10"/>
      <c r="R307" s="10"/>
      <c r="S307" s="10"/>
      <c r="T307" s="10"/>
      <c r="U307" s="10"/>
    </row>
    <row r="308" ht="15.75" customHeight="1">
      <c r="A308" s="8" t="s">
        <v>1226</v>
      </c>
      <c r="B308" s="8" t="s">
        <v>2692</v>
      </c>
      <c r="C308" s="8" t="s">
        <v>2693</v>
      </c>
      <c r="D308" s="15">
        <v>932.0</v>
      </c>
      <c r="E308" s="8" t="s">
        <v>2266</v>
      </c>
      <c r="F308" s="16" t="str">
        <f>HYPERLINK("https://youtu.be/cmV6P3ssh2g","watch")</f>
        <v>watch</v>
      </c>
      <c r="G308" s="17" t="s">
        <v>2694</v>
      </c>
      <c r="H308" s="10"/>
      <c r="I308" s="10"/>
      <c r="J308" s="10" t="s">
        <v>28</v>
      </c>
      <c r="K308" s="10" t="s">
        <v>2695</v>
      </c>
      <c r="L308" s="10"/>
      <c r="M308" s="10"/>
      <c r="N308" s="10"/>
      <c r="O308" s="10"/>
      <c r="P308" s="10"/>
      <c r="Q308" s="10"/>
      <c r="R308" s="10"/>
      <c r="S308" s="10"/>
      <c r="T308" s="10"/>
      <c r="U308" s="10" t="s">
        <v>2696</v>
      </c>
    </row>
    <row r="309" ht="15.75" customHeight="1">
      <c r="A309" s="8" t="s">
        <v>1230</v>
      </c>
      <c r="B309" s="8" t="s">
        <v>2697</v>
      </c>
      <c r="C309" s="8" t="s">
        <v>2698</v>
      </c>
      <c r="D309" s="15">
        <v>850.0</v>
      </c>
      <c r="E309" s="8" t="s">
        <v>1586</v>
      </c>
      <c r="F309" s="16" t="str">
        <f>HYPERLINK("https://youtu.be/SOCAXif6Mzs","watch")</f>
        <v>watch</v>
      </c>
      <c r="G309" s="17" t="s">
        <v>2690</v>
      </c>
      <c r="H309" s="10"/>
      <c r="I309" s="10"/>
      <c r="J309" s="10" t="s">
        <v>28</v>
      </c>
      <c r="K309" s="10" t="s">
        <v>2699</v>
      </c>
      <c r="L309" s="10"/>
      <c r="M309" s="10"/>
      <c r="N309" s="10"/>
      <c r="O309" s="10"/>
      <c r="P309" s="10"/>
      <c r="Q309" s="10"/>
      <c r="R309" s="10"/>
      <c r="S309" s="10"/>
      <c r="T309" s="10"/>
      <c r="U309" s="10"/>
    </row>
    <row r="310" ht="15.75" customHeight="1">
      <c r="A310" s="8" t="s">
        <v>1234</v>
      </c>
      <c r="B310" s="8" t="s">
        <v>2700</v>
      </c>
      <c r="C310" s="8" t="s">
        <v>2701</v>
      </c>
      <c r="D310" s="15">
        <v>507.0</v>
      </c>
      <c r="E310" s="8" t="s">
        <v>1554</v>
      </c>
      <c r="F310" s="16" t="str">
        <f>HYPERLINK("https://youtu.be/Prq7KI6j1Vk","watch")</f>
        <v>watch</v>
      </c>
      <c r="G310" s="17" t="s">
        <v>98</v>
      </c>
      <c r="H310" s="10"/>
      <c r="I310" s="10"/>
      <c r="J310" s="10" t="s">
        <v>28</v>
      </c>
      <c r="K310" s="10" t="s">
        <v>2702</v>
      </c>
      <c r="L310" s="10"/>
      <c r="M310" s="10"/>
      <c r="N310" s="10"/>
      <c r="O310" s="10"/>
      <c r="P310" s="10"/>
      <c r="Q310" s="10"/>
      <c r="R310" s="10"/>
      <c r="S310" s="10"/>
      <c r="T310" s="10"/>
      <c r="U310" s="10"/>
    </row>
    <row r="311" ht="15.75" customHeight="1">
      <c r="A311" s="8" t="s">
        <v>1239</v>
      </c>
      <c r="B311" s="8" t="s">
        <v>2703</v>
      </c>
      <c r="C311" s="8" t="s">
        <v>2704</v>
      </c>
      <c r="D311" s="15">
        <v>402.0</v>
      </c>
      <c r="E311" s="8" t="s">
        <v>2705</v>
      </c>
      <c r="F311" s="16" t="str">
        <f>HYPERLINK("https://youtu.be/-1fhlQB1okI","watch")</f>
        <v>watch</v>
      </c>
      <c r="G311" s="10"/>
      <c r="H311" s="10"/>
      <c r="I311" s="10"/>
      <c r="J311" s="10" t="s">
        <v>28</v>
      </c>
      <c r="K311" s="10" t="s">
        <v>2706</v>
      </c>
      <c r="L311" s="10"/>
      <c r="M311" s="10"/>
      <c r="N311" s="10"/>
      <c r="O311" s="10"/>
      <c r="P311" s="10"/>
      <c r="Q311" s="10"/>
      <c r="R311" s="10"/>
      <c r="S311" s="10"/>
      <c r="T311" s="10"/>
      <c r="U311" s="10"/>
    </row>
    <row r="312" ht="15.75" customHeight="1">
      <c r="A312" s="8" t="s">
        <v>2707</v>
      </c>
      <c r="B312" s="8" t="s">
        <v>2708</v>
      </c>
      <c r="C312" s="8" t="s">
        <v>2709</v>
      </c>
      <c r="D312" s="15">
        <v>2452.0</v>
      </c>
      <c r="E312" s="8" t="s">
        <v>1819</v>
      </c>
      <c r="F312" s="16" t="str">
        <f>HYPERLINK("https://youtu.be/evnMahizn0I","watch")</f>
        <v>watch</v>
      </c>
      <c r="G312" s="17" t="s">
        <v>2710</v>
      </c>
      <c r="H312" s="10"/>
      <c r="I312" s="10"/>
      <c r="J312" s="10" t="s">
        <v>48</v>
      </c>
      <c r="K312" s="10"/>
      <c r="L312" s="10"/>
      <c r="M312" s="10"/>
      <c r="N312" s="10"/>
      <c r="O312" s="10"/>
      <c r="P312" s="10"/>
      <c r="Q312" s="10"/>
      <c r="R312" s="10"/>
      <c r="S312" s="10"/>
      <c r="T312" s="10"/>
      <c r="U312" s="10"/>
    </row>
    <row r="313" ht="15.75" customHeight="1">
      <c r="A313" s="8" t="s">
        <v>1242</v>
      </c>
      <c r="B313" s="8" t="s">
        <v>2711</v>
      </c>
      <c r="C313" s="8" t="s">
        <v>2712</v>
      </c>
      <c r="D313" s="15">
        <v>30.0</v>
      </c>
      <c r="E313" s="8" t="s">
        <v>2158</v>
      </c>
      <c r="F313" s="16" t="str">
        <f>HYPERLINK("https://youtu.be/AXOYuKfoBXU","watch")</f>
        <v>watch</v>
      </c>
      <c r="G313" s="17" t="s">
        <v>2694</v>
      </c>
      <c r="H313" s="10"/>
      <c r="I313" s="10"/>
      <c r="J313" s="10" t="s">
        <v>28</v>
      </c>
      <c r="K313" s="10" t="s">
        <v>2713</v>
      </c>
      <c r="L313" s="10"/>
      <c r="M313" s="10"/>
      <c r="N313" s="10"/>
      <c r="O313" s="10" t="s">
        <v>2714</v>
      </c>
      <c r="P313" s="10"/>
      <c r="Q313" s="10"/>
      <c r="R313" s="10"/>
      <c r="S313" s="10"/>
      <c r="T313" s="10"/>
      <c r="U313" s="10"/>
    </row>
    <row r="314" ht="15.75" customHeight="1">
      <c r="A314" s="8" t="s">
        <v>1246</v>
      </c>
      <c r="B314" s="8" t="s">
        <v>2715</v>
      </c>
      <c r="C314" s="8" t="s">
        <v>2716</v>
      </c>
      <c r="D314" s="15">
        <v>830.0</v>
      </c>
      <c r="E314" s="8" t="s">
        <v>2478</v>
      </c>
      <c r="F314" s="16" t="str">
        <f>HYPERLINK("https://youtu.be/m9K7hpyjn04","watch")</f>
        <v>watch</v>
      </c>
      <c r="G314" s="17" t="s">
        <v>219</v>
      </c>
      <c r="H314" s="10"/>
      <c r="I314" s="10"/>
      <c r="J314" s="10" t="s">
        <v>28</v>
      </c>
      <c r="K314" s="10" t="s">
        <v>2717</v>
      </c>
      <c r="L314" s="10"/>
      <c r="M314" s="10"/>
      <c r="N314" s="10"/>
      <c r="O314" s="10"/>
      <c r="P314" s="10"/>
      <c r="Q314" s="10"/>
      <c r="R314" s="10"/>
      <c r="S314" s="10"/>
      <c r="T314" s="10"/>
      <c r="U314" s="10" t="s">
        <v>2696</v>
      </c>
    </row>
    <row r="315" ht="15.75" customHeight="1">
      <c r="A315" s="8" t="s">
        <v>2718</v>
      </c>
      <c r="B315" s="8" t="s">
        <v>2719</v>
      </c>
      <c r="C315" s="8" t="s">
        <v>2720</v>
      </c>
      <c r="D315" s="15">
        <v>394.0</v>
      </c>
      <c r="E315" s="8" t="s">
        <v>1586</v>
      </c>
      <c r="F315" s="16" t="str">
        <f>HYPERLINK("https://youtu.be/41vJCIdzYkw","watch")</f>
        <v>watch</v>
      </c>
      <c r="G315" s="17" t="s">
        <v>219</v>
      </c>
      <c r="H315" s="10"/>
      <c r="I315" s="10"/>
      <c r="J315" s="10" t="s">
        <v>48</v>
      </c>
      <c r="K315" s="10"/>
      <c r="L315" s="10"/>
      <c r="M315" s="10"/>
      <c r="N315" s="10"/>
      <c r="O315" s="10" t="s">
        <v>2714</v>
      </c>
      <c r="P315" s="10"/>
      <c r="Q315" s="10"/>
      <c r="R315" s="10"/>
      <c r="S315" s="10"/>
      <c r="T315" s="10"/>
      <c r="U315" s="10" t="s">
        <v>2696</v>
      </c>
    </row>
    <row r="316" ht="15.75" customHeight="1">
      <c r="A316" s="8" t="s">
        <v>1252</v>
      </c>
      <c r="B316" s="8" t="s">
        <v>2721</v>
      </c>
      <c r="C316" s="8" t="s">
        <v>2722</v>
      </c>
      <c r="D316" s="15">
        <v>238.0</v>
      </c>
      <c r="E316" s="8" t="s">
        <v>2306</v>
      </c>
      <c r="F316" s="16" t="str">
        <f>HYPERLINK("https://youtu.be/EOFAhFwJKqw","watch")</f>
        <v>watch</v>
      </c>
      <c r="G316" s="17" t="s">
        <v>2723</v>
      </c>
      <c r="H316" s="10" t="s">
        <v>2724</v>
      </c>
      <c r="I316" s="10">
        <v>1.0</v>
      </c>
      <c r="J316" s="10" t="s">
        <v>28</v>
      </c>
      <c r="K316" s="10" t="s">
        <v>2725</v>
      </c>
      <c r="L316" s="10"/>
      <c r="M316" s="10"/>
      <c r="N316" s="10"/>
      <c r="O316" s="10"/>
      <c r="P316" s="10"/>
      <c r="Q316" s="10"/>
      <c r="R316" s="10"/>
      <c r="S316" s="10"/>
      <c r="T316" s="10"/>
      <c r="U316" s="10"/>
    </row>
    <row r="317" ht="15.75" customHeight="1">
      <c r="A317" s="8" t="s">
        <v>1255</v>
      </c>
      <c r="B317" s="8" t="s">
        <v>2726</v>
      </c>
      <c r="C317" s="8" t="s">
        <v>2727</v>
      </c>
      <c r="D317" s="15">
        <v>1181.0</v>
      </c>
      <c r="E317" s="8" t="s">
        <v>2728</v>
      </c>
      <c r="F317" s="16" t="str">
        <f>HYPERLINK("https://youtu.be/l6RPdGNs7uE","watch")</f>
        <v>watch</v>
      </c>
      <c r="G317" s="10"/>
      <c r="H317" s="10" t="s">
        <v>200</v>
      </c>
      <c r="I317" s="10"/>
      <c r="J317" s="10" t="s">
        <v>28</v>
      </c>
      <c r="K317" s="18" t="s">
        <v>2729</v>
      </c>
      <c r="L317" s="10"/>
      <c r="M317" s="10"/>
      <c r="N317" s="10"/>
      <c r="O317" s="10" t="s">
        <v>2714</v>
      </c>
      <c r="P317" s="10"/>
      <c r="Q317" s="10"/>
      <c r="R317" s="10"/>
      <c r="S317" s="10"/>
      <c r="T317" s="10"/>
      <c r="U317" s="10" t="s">
        <v>2696</v>
      </c>
    </row>
    <row r="318" ht="15.75" customHeight="1">
      <c r="A318" s="8" t="s">
        <v>904</v>
      </c>
      <c r="B318" s="8" t="s">
        <v>2730</v>
      </c>
      <c r="C318" s="8" t="s">
        <v>2731</v>
      </c>
      <c r="D318" s="15">
        <v>90.0</v>
      </c>
      <c r="E318" s="8" t="s">
        <v>2732</v>
      </c>
      <c r="F318" s="16" t="str">
        <f>HYPERLINK("https://youtu.be/kj7532tb0_I","watch")</f>
        <v>watch</v>
      </c>
      <c r="G318" s="10"/>
      <c r="H318" s="10" t="s">
        <v>2733</v>
      </c>
      <c r="I318" s="10"/>
      <c r="J318" s="10" t="s">
        <v>28</v>
      </c>
      <c r="K318" s="18" t="s">
        <v>2734</v>
      </c>
      <c r="L318" s="10"/>
      <c r="M318" s="10"/>
      <c r="N318" s="10"/>
      <c r="O318" s="10" t="s">
        <v>2714</v>
      </c>
      <c r="P318" s="10"/>
      <c r="Q318" s="10"/>
      <c r="R318" s="10"/>
      <c r="S318" s="10"/>
      <c r="T318" s="10"/>
      <c r="U318" s="10" t="s">
        <v>2696</v>
      </c>
    </row>
    <row r="319" ht="15.75" customHeight="1">
      <c r="A319" s="8" t="s">
        <v>1078</v>
      </c>
      <c r="B319" s="8" t="s">
        <v>2735</v>
      </c>
      <c r="C319" s="8" t="s">
        <v>2731</v>
      </c>
      <c r="D319" s="15">
        <v>1407.0</v>
      </c>
      <c r="E319" s="8" t="s">
        <v>2736</v>
      </c>
      <c r="F319" s="16" t="str">
        <f>HYPERLINK("https://youtu.be/TN7_ZsuRQSI","watch")</f>
        <v>watch</v>
      </c>
      <c r="G319" s="10"/>
      <c r="H319" s="10" t="s">
        <v>2737</v>
      </c>
      <c r="I319" s="10"/>
      <c r="J319" s="10" t="s">
        <v>28</v>
      </c>
      <c r="K319" s="18" t="s">
        <v>2738</v>
      </c>
      <c r="L319" s="10"/>
      <c r="M319" s="10"/>
      <c r="N319" s="10"/>
      <c r="O319" s="10" t="s">
        <v>2714</v>
      </c>
      <c r="P319" s="10"/>
      <c r="Q319" s="10"/>
      <c r="R319" s="10"/>
      <c r="S319" s="10"/>
      <c r="T319" s="10"/>
      <c r="U319" s="10" t="s">
        <v>2696</v>
      </c>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19"/>
  <conditionalFormatting sqref="H2:J319 L119">
    <cfRule type="expression" dxfId="0" priority="1">
      <formula>OR($H2="",$J2="")</formula>
    </cfRule>
  </conditionalFormatting>
  <conditionalFormatting sqref="J2:K319">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2" t="s">
        <v>2</v>
      </c>
      <c r="B1" s="2" t="s">
        <v>11</v>
      </c>
      <c r="C1" s="2" t="s">
        <v>13</v>
      </c>
      <c r="D1" s="2" t="s">
        <v>15</v>
      </c>
      <c r="E1" s="2" t="s">
        <v>17</v>
      </c>
      <c r="F1" s="4" t="s">
        <v>19</v>
      </c>
      <c r="G1" s="4" t="s">
        <v>22</v>
      </c>
      <c r="H1" s="4" t="s">
        <v>24</v>
      </c>
    </row>
    <row r="2">
      <c r="A2" s="8" t="s">
        <v>32</v>
      </c>
      <c r="B2" s="8" t="s">
        <v>20</v>
      </c>
      <c r="C2" s="8" t="s">
        <v>49</v>
      </c>
      <c r="D2" s="8">
        <v>120.0</v>
      </c>
      <c r="E2" s="8">
        <v>24.0</v>
      </c>
      <c r="F2" s="10"/>
      <c r="G2" s="10"/>
      <c r="H2" s="10"/>
    </row>
    <row r="3">
      <c r="A3" s="8" t="s">
        <v>120</v>
      </c>
      <c r="B3" s="8" t="s">
        <v>42</v>
      </c>
      <c r="C3" s="8" t="s">
        <v>123</v>
      </c>
      <c r="D3" s="8">
        <v>122.0</v>
      </c>
      <c r="E3" s="8">
        <v>53.0</v>
      </c>
      <c r="F3" s="10"/>
      <c r="G3" s="10"/>
      <c r="H3" s="10"/>
    </row>
    <row r="4">
      <c r="A4" s="8" t="s">
        <v>132</v>
      </c>
      <c r="B4" s="8" t="s">
        <v>64</v>
      </c>
      <c r="C4" s="8" t="s">
        <v>136</v>
      </c>
      <c r="D4" s="8">
        <v>124.0</v>
      </c>
      <c r="E4" s="8">
        <v>45.0</v>
      </c>
      <c r="F4" s="10"/>
      <c r="G4" s="10"/>
      <c r="H4" s="10"/>
    </row>
    <row r="5">
      <c r="A5" s="8" t="s">
        <v>145</v>
      </c>
      <c r="B5" s="8" t="s">
        <v>81</v>
      </c>
      <c r="C5" s="8" t="s">
        <v>151</v>
      </c>
      <c r="D5" s="8">
        <v>295.0</v>
      </c>
      <c r="E5" s="8">
        <v>57.0</v>
      </c>
      <c r="F5" s="10"/>
      <c r="G5" s="10"/>
      <c r="H5" s="10"/>
    </row>
    <row r="6">
      <c r="A6" s="8" t="s">
        <v>159</v>
      </c>
      <c r="B6" s="8" t="s">
        <v>98</v>
      </c>
      <c r="C6" s="8" t="s">
        <v>163</v>
      </c>
      <c r="D6" s="8">
        <v>130.0</v>
      </c>
      <c r="E6" s="8">
        <v>17.0</v>
      </c>
      <c r="F6" s="10"/>
      <c r="G6" s="10"/>
      <c r="H6" s="10"/>
    </row>
    <row r="7">
      <c r="A7" s="8" t="s">
        <v>172</v>
      </c>
      <c r="B7" s="8" t="s">
        <v>115</v>
      </c>
      <c r="C7" s="8" t="s">
        <v>174</v>
      </c>
      <c r="D7" s="8">
        <v>188.0</v>
      </c>
      <c r="E7" s="8">
        <v>9.0</v>
      </c>
      <c r="F7" s="10"/>
      <c r="G7" s="10"/>
      <c r="H7" s="10"/>
    </row>
    <row r="8">
      <c r="A8" s="8" t="s">
        <v>184</v>
      </c>
      <c r="B8" s="8" t="s">
        <v>130</v>
      </c>
      <c r="C8" s="8" t="s">
        <v>188</v>
      </c>
      <c r="D8" s="8">
        <v>173.0</v>
      </c>
      <c r="E8" s="8">
        <v>0.0</v>
      </c>
      <c r="F8" s="10"/>
      <c r="G8" s="10"/>
      <c r="H8" s="10"/>
    </row>
    <row r="9">
      <c r="A9" s="8" t="s">
        <v>194</v>
      </c>
      <c r="B9" s="8" t="s">
        <v>146</v>
      </c>
      <c r="C9" s="8" t="s">
        <v>188</v>
      </c>
      <c r="D9" s="8">
        <v>172.0</v>
      </c>
      <c r="E9" s="8">
        <v>0.0</v>
      </c>
      <c r="F9" s="10"/>
      <c r="G9" s="10"/>
      <c r="H9" s="10"/>
    </row>
    <row r="10">
      <c r="A10" s="8" t="s">
        <v>203</v>
      </c>
      <c r="B10" s="8" t="s">
        <v>161</v>
      </c>
      <c r="C10" s="8" t="s">
        <v>206</v>
      </c>
      <c r="D10" s="8">
        <v>244.0</v>
      </c>
      <c r="E10" s="8">
        <v>15.0</v>
      </c>
      <c r="F10" s="10"/>
      <c r="G10" s="10"/>
      <c r="H10" s="10"/>
    </row>
    <row r="11">
      <c r="A11" s="8" t="s">
        <v>213</v>
      </c>
      <c r="B11" s="8" t="s">
        <v>177</v>
      </c>
      <c r="C11" s="8" t="s">
        <v>216</v>
      </c>
      <c r="D11" s="8">
        <v>190.0</v>
      </c>
      <c r="E11" s="8">
        <v>15.0</v>
      </c>
      <c r="F11" s="10"/>
      <c r="G11" s="10"/>
      <c r="H11" s="10"/>
    </row>
    <row r="12">
      <c r="A12" s="8" t="s">
        <v>221</v>
      </c>
      <c r="B12" s="8" t="s">
        <v>199</v>
      </c>
      <c r="C12" s="8" t="s">
        <v>224</v>
      </c>
      <c r="D12" s="8">
        <v>180.0</v>
      </c>
      <c r="E12" s="8">
        <v>13.0</v>
      </c>
      <c r="F12" s="10"/>
      <c r="G12" s="10"/>
      <c r="H12" s="10"/>
    </row>
    <row r="13">
      <c r="A13" s="8" t="s">
        <v>230</v>
      </c>
      <c r="B13" s="8" t="s">
        <v>209</v>
      </c>
      <c r="C13" s="8" t="s">
        <v>232</v>
      </c>
      <c r="D13" s="8">
        <v>252.0</v>
      </c>
      <c r="E13" s="8">
        <v>9.0</v>
      </c>
      <c r="F13" s="10"/>
      <c r="G13" s="10"/>
      <c r="H13" s="10"/>
    </row>
    <row r="14">
      <c r="A14" s="8" t="s">
        <v>238</v>
      </c>
      <c r="B14" s="8" t="s">
        <v>218</v>
      </c>
      <c r="C14" s="8" t="s">
        <v>239</v>
      </c>
      <c r="D14" s="8">
        <v>175.0</v>
      </c>
      <c r="E14" s="8">
        <v>0.0</v>
      </c>
      <c r="F14" s="10"/>
      <c r="G14" s="10"/>
      <c r="H14" s="10"/>
    </row>
    <row r="15">
      <c r="A15" s="8" t="s">
        <v>245</v>
      </c>
      <c r="B15" s="8" t="s">
        <v>225</v>
      </c>
      <c r="C15" s="8" t="s">
        <v>247</v>
      </c>
      <c r="D15" s="8">
        <v>99.0</v>
      </c>
      <c r="E15" s="8">
        <v>0.0</v>
      </c>
      <c r="F15" s="10"/>
      <c r="G15" s="10"/>
      <c r="H15" s="10"/>
    </row>
    <row r="16">
      <c r="A16" s="8" t="s">
        <v>253</v>
      </c>
      <c r="B16" s="8" t="s">
        <v>233</v>
      </c>
      <c r="C16" s="8" t="s">
        <v>255</v>
      </c>
      <c r="D16" s="8">
        <v>226.0</v>
      </c>
      <c r="E16" s="8">
        <v>4.0</v>
      </c>
      <c r="F16" s="10"/>
      <c r="G16" s="10"/>
      <c r="H16" s="10"/>
    </row>
    <row r="17">
      <c r="A17" s="8" t="s">
        <v>261</v>
      </c>
      <c r="B17" s="8" t="s">
        <v>240</v>
      </c>
      <c r="C17" s="8" t="s">
        <v>263</v>
      </c>
      <c r="D17" s="8">
        <v>218.0</v>
      </c>
      <c r="E17" s="8">
        <v>2.0</v>
      </c>
      <c r="F17" s="10"/>
      <c r="G17" s="10"/>
      <c r="H17" s="10"/>
    </row>
    <row r="18">
      <c r="A18" s="8" t="s">
        <v>268</v>
      </c>
      <c r="B18" s="8" t="s">
        <v>246</v>
      </c>
      <c r="C18" s="8" t="s">
        <v>269</v>
      </c>
      <c r="D18" s="8">
        <v>245.0</v>
      </c>
      <c r="E18" s="8">
        <v>0.0</v>
      </c>
      <c r="F18" s="10"/>
      <c r="G18" s="10"/>
      <c r="H18" s="10"/>
    </row>
    <row r="19">
      <c r="A19" s="8" t="s">
        <v>277</v>
      </c>
      <c r="B19" s="8" t="s">
        <v>252</v>
      </c>
      <c r="C19" s="8" t="s">
        <v>279</v>
      </c>
      <c r="D19" s="8">
        <v>266.0</v>
      </c>
      <c r="E19" s="8">
        <v>3.0</v>
      </c>
      <c r="F19" s="10"/>
      <c r="G19" s="10"/>
      <c r="H19" s="10"/>
    </row>
    <row r="20">
      <c r="A20" s="8" t="s">
        <v>258</v>
      </c>
      <c r="B20" s="8" t="s">
        <v>258</v>
      </c>
      <c r="C20" s="8" t="s">
        <v>288</v>
      </c>
      <c r="D20" s="8">
        <v>207.0</v>
      </c>
      <c r="E20" s="8">
        <v>1.0</v>
      </c>
      <c r="F20" s="10"/>
      <c r="G20" s="10"/>
      <c r="H20" s="10"/>
    </row>
    <row r="21" ht="15.75" customHeight="1">
      <c r="A21" s="8" t="s">
        <v>293</v>
      </c>
      <c r="B21" s="8" t="s">
        <v>264</v>
      </c>
      <c r="C21" s="8" t="s">
        <v>295</v>
      </c>
      <c r="D21" s="8">
        <v>230.0</v>
      </c>
      <c r="E21" s="8">
        <v>1.0</v>
      </c>
      <c r="F21" s="10"/>
      <c r="G21" s="10"/>
      <c r="H21" s="10"/>
    </row>
    <row r="22" ht="15.75" customHeight="1">
      <c r="A22" s="8" t="s">
        <v>303</v>
      </c>
      <c r="B22" s="8" t="s">
        <v>270</v>
      </c>
      <c r="C22" s="8" t="s">
        <v>305</v>
      </c>
      <c r="D22" s="8">
        <v>279.0</v>
      </c>
      <c r="E22" s="8">
        <v>1.0</v>
      </c>
      <c r="F22" s="10"/>
      <c r="G22" s="10"/>
      <c r="H22" s="10"/>
    </row>
    <row r="23" ht="15.75" customHeight="1">
      <c r="A23" s="8" t="s">
        <v>310</v>
      </c>
      <c r="B23" s="8" t="s">
        <v>274</v>
      </c>
      <c r="C23" s="8" t="s">
        <v>314</v>
      </c>
      <c r="D23" s="8">
        <v>258.0</v>
      </c>
      <c r="E23" s="8">
        <v>0.0</v>
      </c>
      <c r="F23" s="10"/>
      <c r="G23" s="10"/>
      <c r="H23" s="10"/>
    </row>
    <row r="24" ht="15.75" customHeight="1">
      <c r="A24" s="8" t="s">
        <v>320</v>
      </c>
      <c r="B24" s="8" t="s">
        <v>280</v>
      </c>
      <c r="C24" s="8" t="s">
        <v>322</v>
      </c>
      <c r="D24" s="8">
        <v>160.0</v>
      </c>
      <c r="E24" s="8">
        <v>1.0</v>
      </c>
      <c r="F24" s="10"/>
      <c r="G24" s="10"/>
      <c r="H24" s="10"/>
    </row>
    <row r="25" ht="15.75" customHeight="1">
      <c r="A25" s="8" t="s">
        <v>327</v>
      </c>
      <c r="B25" s="8" t="s">
        <v>284</v>
      </c>
      <c r="C25" s="8" t="s">
        <v>330</v>
      </c>
      <c r="D25" s="8">
        <v>88.0</v>
      </c>
      <c r="E25" s="8">
        <v>12.0</v>
      </c>
      <c r="F25" s="10"/>
      <c r="G25" s="10"/>
      <c r="H25" s="10"/>
    </row>
    <row r="26" ht="15.75" customHeight="1">
      <c r="A26" s="8" t="s">
        <v>335</v>
      </c>
      <c r="B26" s="8" t="s">
        <v>289</v>
      </c>
      <c r="C26" s="8" t="s">
        <v>338</v>
      </c>
      <c r="D26" s="8">
        <v>25.0</v>
      </c>
      <c r="E26" s="8">
        <v>1.0</v>
      </c>
      <c r="F26" s="10"/>
      <c r="G26" s="10"/>
      <c r="H26" s="10"/>
    </row>
    <row r="27" ht="15.75" customHeight="1">
      <c r="A27" s="8" t="s">
        <v>344</v>
      </c>
      <c r="B27" s="8" t="s">
        <v>294</v>
      </c>
      <c r="C27" s="8" t="s">
        <v>346</v>
      </c>
      <c r="D27" s="8">
        <v>233.0</v>
      </c>
      <c r="E27" s="8">
        <v>1.0</v>
      </c>
      <c r="F27" s="10"/>
      <c r="G27" s="10"/>
      <c r="H27" s="10"/>
    </row>
    <row r="28" ht="15.75" customHeight="1">
      <c r="A28" s="8" t="s">
        <v>353</v>
      </c>
      <c r="B28" s="8" t="s">
        <v>299</v>
      </c>
      <c r="C28" s="8" t="s">
        <v>356</v>
      </c>
      <c r="D28" s="8">
        <v>73.0</v>
      </c>
      <c r="E28" s="8">
        <v>2.0</v>
      </c>
      <c r="F28" s="10"/>
      <c r="G28" s="10"/>
      <c r="H28" s="10"/>
    </row>
    <row r="29" ht="15.75" customHeight="1">
      <c r="A29" s="8" t="s">
        <v>361</v>
      </c>
      <c r="B29" s="8" t="s">
        <v>306</v>
      </c>
      <c r="C29" s="8" t="s">
        <v>364</v>
      </c>
      <c r="D29" s="8">
        <v>209.0</v>
      </c>
      <c r="E29" s="8">
        <v>2.0</v>
      </c>
      <c r="F29" s="10"/>
      <c r="G29" s="10"/>
      <c r="H29" s="10"/>
    </row>
    <row r="30" ht="15.75" customHeight="1"/>
    <row r="31" ht="15.75" customHeight="1">
      <c r="A31" s="13" t="s">
        <v>370</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3" t="s">
        <v>507</v>
      </c>
    </row>
    <row r="3">
      <c r="A3" s="5" t="s">
        <v>513</v>
      </c>
      <c r="B3" s="19">
        <f>COUNTA('Video Log'!A2:A319)</f>
        <v>318</v>
      </c>
    </row>
    <row r="4">
      <c r="A4" s="5" t="s">
        <v>548</v>
      </c>
      <c r="B4" s="19">
        <f>COUNTA('Video Log'!H2:H319)</f>
        <v>277</v>
      </c>
    </row>
    <row r="5">
      <c r="A5" s="5" t="s">
        <v>560</v>
      </c>
      <c r="B5" s="19">
        <f>COUNTA('Video Log'!A2:A319)-COUNTA('Video Log'!H2:H319)</f>
        <v>41</v>
      </c>
    </row>
    <row r="6">
      <c r="A6" s="5" t="s">
        <v>578</v>
      </c>
      <c r="B6" s="19">
        <f>COUNTA('Video Log'!L2:L319)</f>
        <v>273</v>
      </c>
    </row>
    <row r="7">
      <c r="A7" s="5" t="s">
        <v>589</v>
      </c>
      <c r="B7" s="19">
        <f>COUNTA('Video Log'!A2:A319)-COUNTA('Video Log'!L2:L319)</f>
        <v>45</v>
      </c>
    </row>
    <row r="8">
      <c r="A8" s="5" t="s">
        <v>603</v>
      </c>
      <c r="B8" s="19">
        <f>COUNTA('Video Log'!I2:I319)</f>
        <v>243</v>
      </c>
    </row>
    <row r="9">
      <c r="A9" s="5" t="s">
        <v>612</v>
      </c>
      <c r="B9" s="19">
        <f>COUNTIF('Video Log'!J2:J319,"Yes")</f>
        <v>119</v>
      </c>
    </row>
    <row r="10">
      <c r="A10" s="5" t="s">
        <v>628</v>
      </c>
      <c r="B10" s="19">
        <f>COUNTA('Video Log'!K2:K319)</f>
        <v>143</v>
      </c>
    </row>
    <row r="11">
      <c r="A11" s="5" t="s">
        <v>641</v>
      </c>
      <c r="B11" s="19">
        <f>COUNTIF('Video Log'!M2:M319,"Yes")</f>
        <v>3</v>
      </c>
    </row>
    <row r="12">
      <c r="A12" s="5" t="s">
        <v>654</v>
      </c>
      <c r="B12" s="19">
        <f>COUNTA('Video Log'!N2:N319)</f>
        <v>1</v>
      </c>
    </row>
    <row r="15">
      <c r="A15" s="13" t="s">
        <v>665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7" t="s">
        <v>784</v>
      </c>
      <c r="B1" s="7" t="s">
        <v>787</v>
      </c>
      <c r="C1" s="7" t="s">
        <v>789</v>
      </c>
      <c r="D1" s="7" t="s">
        <v>792</v>
      </c>
      <c r="E1" s="7" t="s">
        <v>795</v>
      </c>
      <c r="F1" s="7" t="s">
        <v>796</v>
      </c>
      <c r="G1" s="9" t="s">
        <v>799</v>
      </c>
      <c r="H1" s="9" t="s">
        <v>802</v>
      </c>
      <c r="I1" s="9" t="s">
        <v>804</v>
      </c>
      <c r="J1" s="12" t="s">
        <v>806</v>
      </c>
      <c r="K1" s="12" t="s">
        <v>173</v>
      </c>
      <c r="L1" s="9" t="s">
        <v>811</v>
      </c>
      <c r="M1" s="9" t="s">
        <v>813</v>
      </c>
      <c r="N1" s="9" t="s">
        <v>815</v>
      </c>
    </row>
    <row r="2">
      <c r="A2" s="8" t="s">
        <v>818</v>
      </c>
      <c r="B2" s="8" t="s">
        <v>20</v>
      </c>
      <c r="C2" s="8" t="s">
        <v>820</v>
      </c>
      <c r="D2" s="8" t="s">
        <v>822</v>
      </c>
      <c r="E2" s="8" t="s">
        <v>823</v>
      </c>
      <c r="F2" s="20">
        <v>249.22</v>
      </c>
      <c r="G2" s="21"/>
      <c r="H2" s="10"/>
      <c r="I2" s="10"/>
      <c r="J2" s="22" t="s">
        <v>28</v>
      </c>
      <c r="K2" s="22" t="s">
        <v>48</v>
      </c>
      <c r="L2" s="10"/>
      <c r="M2" s="10"/>
      <c r="N2" s="22" t="s">
        <v>868</v>
      </c>
    </row>
    <row r="3">
      <c r="A3" s="8" t="s">
        <v>870</v>
      </c>
      <c r="B3" s="8" t="s">
        <v>20</v>
      </c>
      <c r="C3" s="8" t="s">
        <v>820</v>
      </c>
      <c r="D3" s="8" t="s">
        <v>872</v>
      </c>
      <c r="E3" s="8" t="s">
        <v>27</v>
      </c>
      <c r="F3" s="20">
        <v>184.94</v>
      </c>
      <c r="G3" s="21"/>
      <c r="H3" s="10"/>
      <c r="I3" s="10"/>
      <c r="J3" s="10"/>
      <c r="K3" s="10"/>
      <c r="L3" s="10"/>
      <c r="M3" s="10"/>
      <c r="N3" s="10"/>
    </row>
    <row r="4">
      <c r="A4" s="8" t="s">
        <v>881</v>
      </c>
      <c r="B4" s="8" t="s">
        <v>20</v>
      </c>
      <c r="C4" s="8" t="s">
        <v>883</v>
      </c>
      <c r="D4" s="8" t="s">
        <v>884</v>
      </c>
      <c r="E4" s="8" t="s">
        <v>823</v>
      </c>
      <c r="F4" s="20">
        <v>94.73</v>
      </c>
      <c r="G4" s="21"/>
      <c r="H4" s="10"/>
      <c r="I4" s="10"/>
      <c r="J4" s="10"/>
      <c r="K4" s="10"/>
      <c r="L4" s="10"/>
      <c r="M4" s="10"/>
      <c r="N4" s="10"/>
    </row>
    <row r="5">
      <c r="A5" s="8" t="s">
        <v>894</v>
      </c>
      <c r="B5" s="8" t="s">
        <v>20</v>
      </c>
      <c r="C5" s="8" t="s">
        <v>852</v>
      </c>
      <c r="D5" s="8" t="s">
        <v>896</v>
      </c>
      <c r="E5" s="8" t="s">
        <v>823</v>
      </c>
      <c r="F5" s="20">
        <v>57.74</v>
      </c>
      <c r="G5" s="21"/>
      <c r="H5" s="10"/>
      <c r="I5" s="10"/>
      <c r="J5" s="10"/>
      <c r="K5" s="10"/>
      <c r="L5" s="10"/>
      <c r="M5" s="10"/>
      <c r="N5" s="10"/>
    </row>
    <row r="6">
      <c r="A6" s="8" t="s">
        <v>907</v>
      </c>
      <c r="B6" s="8" t="s">
        <v>20</v>
      </c>
      <c r="C6" s="8" t="s">
        <v>816</v>
      </c>
      <c r="D6" s="8" t="s">
        <v>910</v>
      </c>
      <c r="E6" s="8" t="s">
        <v>823</v>
      </c>
      <c r="F6" s="20">
        <v>45.46</v>
      </c>
      <c r="G6" s="21"/>
      <c r="H6" s="10"/>
      <c r="I6" s="10"/>
      <c r="J6" s="10"/>
      <c r="K6" s="10"/>
      <c r="L6" s="10"/>
      <c r="M6" s="10"/>
      <c r="N6" s="10"/>
    </row>
    <row r="7">
      <c r="A7" s="8" t="s">
        <v>920</v>
      </c>
      <c r="B7" s="8" t="s">
        <v>20</v>
      </c>
      <c r="C7" s="8" t="s">
        <v>699</v>
      </c>
      <c r="D7" s="8" t="s">
        <v>922</v>
      </c>
      <c r="E7" s="8" t="s">
        <v>823</v>
      </c>
      <c r="F7" s="20">
        <v>36.78</v>
      </c>
      <c r="G7" s="21"/>
      <c r="H7" s="10"/>
      <c r="I7" s="10"/>
      <c r="J7" s="10"/>
      <c r="K7" s="10"/>
      <c r="L7" s="10"/>
      <c r="M7" s="10"/>
      <c r="N7" s="10"/>
    </row>
    <row r="8">
      <c r="A8" s="8" t="s">
        <v>930</v>
      </c>
      <c r="B8" s="8" t="s">
        <v>20</v>
      </c>
      <c r="C8" s="8" t="s">
        <v>659</v>
      </c>
      <c r="D8" s="8" t="s">
        <v>934</v>
      </c>
      <c r="E8" s="8" t="s">
        <v>823</v>
      </c>
      <c r="F8" s="20">
        <v>29.99</v>
      </c>
      <c r="G8" s="21"/>
      <c r="H8" s="10"/>
      <c r="I8" s="10"/>
      <c r="J8" s="10"/>
      <c r="K8" s="10"/>
      <c r="L8" s="10"/>
      <c r="M8" s="10"/>
      <c r="N8" s="10"/>
    </row>
    <row r="9">
      <c r="A9" s="8" t="s">
        <v>944</v>
      </c>
      <c r="B9" s="8" t="s">
        <v>20</v>
      </c>
      <c r="C9" s="8" t="s">
        <v>893</v>
      </c>
      <c r="D9" s="8" t="s">
        <v>946</v>
      </c>
      <c r="E9" s="8" t="s">
        <v>101</v>
      </c>
      <c r="F9" s="20">
        <v>21.72</v>
      </c>
      <c r="G9" s="21"/>
      <c r="H9" s="10"/>
      <c r="I9" s="10"/>
      <c r="J9" s="10"/>
      <c r="K9" s="10"/>
      <c r="L9" s="10"/>
      <c r="M9" s="10"/>
      <c r="N9" s="10"/>
    </row>
    <row r="10">
      <c r="A10" s="8" t="s">
        <v>955</v>
      </c>
      <c r="B10" s="8" t="s">
        <v>42</v>
      </c>
      <c r="C10" s="8" t="s">
        <v>838</v>
      </c>
      <c r="D10" s="8" t="s">
        <v>822</v>
      </c>
      <c r="E10" s="8" t="s">
        <v>823</v>
      </c>
      <c r="F10" s="20">
        <v>208.35</v>
      </c>
      <c r="G10" s="21"/>
      <c r="H10" s="10"/>
      <c r="I10" s="10"/>
      <c r="J10" s="22" t="s">
        <v>28</v>
      </c>
      <c r="K10" s="22" t="s">
        <v>48</v>
      </c>
      <c r="L10" s="10"/>
      <c r="M10" s="10"/>
      <c r="N10" s="22" t="s">
        <v>966</v>
      </c>
    </row>
    <row r="11">
      <c r="A11" s="8" t="s">
        <v>968</v>
      </c>
      <c r="B11" s="8" t="s">
        <v>42</v>
      </c>
      <c r="C11" s="8" t="s">
        <v>838</v>
      </c>
      <c r="D11" s="8" t="s">
        <v>970</v>
      </c>
      <c r="E11" s="8" t="s">
        <v>27</v>
      </c>
      <c r="F11" s="20">
        <v>175.0</v>
      </c>
      <c r="G11" s="21"/>
      <c r="H11" s="10"/>
      <c r="I11" s="10"/>
      <c r="J11" s="10"/>
      <c r="K11" s="10"/>
      <c r="L11" s="10"/>
      <c r="M11" s="10"/>
      <c r="N11" s="10"/>
    </row>
    <row r="12">
      <c r="A12" s="8" t="s">
        <v>979</v>
      </c>
      <c r="B12" s="8" t="s">
        <v>42</v>
      </c>
      <c r="C12" s="8" t="s">
        <v>414</v>
      </c>
      <c r="D12" s="8" t="s">
        <v>922</v>
      </c>
      <c r="E12" s="8" t="s">
        <v>823</v>
      </c>
      <c r="F12" s="20">
        <v>56.48</v>
      </c>
      <c r="G12" s="21"/>
      <c r="H12" s="10"/>
      <c r="I12" s="10"/>
      <c r="J12" s="10"/>
      <c r="K12" s="10"/>
      <c r="L12" s="10"/>
      <c r="M12" s="10"/>
      <c r="N12" s="10"/>
    </row>
    <row r="13">
      <c r="A13" s="8" t="s">
        <v>990</v>
      </c>
      <c r="B13" s="8" t="s">
        <v>42</v>
      </c>
      <c r="C13" s="8" t="s">
        <v>828</v>
      </c>
      <c r="D13" s="8" t="s">
        <v>934</v>
      </c>
      <c r="E13" s="8" t="s">
        <v>823</v>
      </c>
      <c r="F13" s="20">
        <v>39.98</v>
      </c>
      <c r="G13" s="21"/>
      <c r="H13" s="10"/>
      <c r="I13" s="10"/>
      <c r="J13" s="10"/>
      <c r="K13" s="10"/>
      <c r="L13" s="10"/>
      <c r="M13" s="10"/>
      <c r="N13" s="10"/>
    </row>
    <row r="14">
      <c r="A14" s="8" t="s">
        <v>1003</v>
      </c>
      <c r="B14" s="8" t="s">
        <v>42</v>
      </c>
      <c r="C14" s="8" t="s">
        <v>833</v>
      </c>
      <c r="D14" s="8" t="s">
        <v>884</v>
      </c>
      <c r="E14" s="8" t="s">
        <v>823</v>
      </c>
      <c r="F14" s="20">
        <v>31.0</v>
      </c>
      <c r="G14" s="21"/>
      <c r="H14" s="10"/>
      <c r="I14" s="10"/>
      <c r="J14" s="10"/>
      <c r="K14" s="10"/>
      <c r="L14" s="10"/>
      <c r="M14" s="10"/>
      <c r="N14" s="10"/>
    </row>
    <row r="15">
      <c r="A15" s="8" t="s">
        <v>1016</v>
      </c>
      <c r="B15" s="8" t="s">
        <v>42</v>
      </c>
      <c r="C15" s="8" t="s">
        <v>34</v>
      </c>
      <c r="D15" s="8" t="s">
        <v>872</v>
      </c>
      <c r="E15" s="8" t="s">
        <v>823</v>
      </c>
      <c r="F15" s="20">
        <v>25.28</v>
      </c>
      <c r="G15" s="21"/>
      <c r="H15" s="10"/>
      <c r="I15" s="10"/>
      <c r="J15" s="10"/>
      <c r="K15" s="10"/>
      <c r="L15" s="10"/>
      <c r="M15" s="10"/>
      <c r="N15" s="10"/>
    </row>
    <row r="16">
      <c r="A16" s="8" t="s">
        <v>1027</v>
      </c>
      <c r="B16" s="8" t="s">
        <v>42</v>
      </c>
      <c r="C16" s="8" t="s">
        <v>1008</v>
      </c>
      <c r="D16" s="8" t="s">
        <v>1031</v>
      </c>
      <c r="E16" s="8" t="s">
        <v>823</v>
      </c>
      <c r="F16" s="20">
        <v>21.0</v>
      </c>
      <c r="G16" s="21"/>
      <c r="H16" s="10"/>
      <c r="I16" s="10"/>
      <c r="J16" s="10"/>
      <c r="K16" s="10"/>
      <c r="L16" s="10"/>
      <c r="M16" s="10"/>
      <c r="N16" s="10"/>
    </row>
    <row r="17">
      <c r="A17" s="8" t="s">
        <v>1042</v>
      </c>
      <c r="B17" s="8" t="s">
        <v>42</v>
      </c>
      <c r="C17" s="8" t="s">
        <v>838</v>
      </c>
      <c r="D17" s="8" t="s">
        <v>1044</v>
      </c>
      <c r="E17" s="8" t="s">
        <v>101</v>
      </c>
      <c r="F17" s="20">
        <v>14.76</v>
      </c>
      <c r="G17" s="21"/>
      <c r="H17" s="10"/>
      <c r="I17" s="10"/>
      <c r="J17" s="10"/>
      <c r="K17" s="10"/>
      <c r="L17" s="10"/>
      <c r="M17" s="10"/>
      <c r="N17" s="10"/>
    </row>
    <row r="18">
      <c r="A18" s="8" t="s">
        <v>1054</v>
      </c>
      <c r="B18" s="8" t="s">
        <v>64</v>
      </c>
      <c r="C18" s="8" t="s">
        <v>853</v>
      </c>
      <c r="D18" s="8" t="s">
        <v>1056</v>
      </c>
      <c r="E18" s="8" t="s">
        <v>27</v>
      </c>
      <c r="F18" s="20">
        <v>120.01</v>
      </c>
      <c r="G18" s="21"/>
      <c r="H18" s="10"/>
      <c r="I18" s="10"/>
      <c r="J18" s="10"/>
      <c r="K18" s="10"/>
      <c r="L18" s="10"/>
      <c r="M18" s="10"/>
      <c r="N18" s="10"/>
    </row>
    <row r="19">
      <c r="A19" s="8" t="s">
        <v>1069</v>
      </c>
      <c r="B19" s="8" t="s">
        <v>64</v>
      </c>
      <c r="C19" s="8" t="s">
        <v>859</v>
      </c>
      <c r="D19" s="8" t="s">
        <v>1031</v>
      </c>
      <c r="E19" s="8" t="s">
        <v>823</v>
      </c>
      <c r="F19" s="20">
        <v>127.59</v>
      </c>
      <c r="G19" s="21"/>
      <c r="H19" s="10"/>
      <c r="I19" s="10"/>
      <c r="J19" s="22" t="s">
        <v>28</v>
      </c>
      <c r="K19" s="22" t="s">
        <v>48</v>
      </c>
      <c r="L19" s="10"/>
      <c r="M19" s="10"/>
      <c r="N19" s="22" t="s">
        <v>1084</v>
      </c>
    </row>
    <row r="20">
      <c r="A20" s="8" t="s">
        <v>1087</v>
      </c>
      <c r="B20" s="8" t="s">
        <v>64</v>
      </c>
      <c r="C20" s="8" t="s">
        <v>853</v>
      </c>
      <c r="D20" s="8" t="s">
        <v>872</v>
      </c>
      <c r="E20" s="8" t="s">
        <v>823</v>
      </c>
      <c r="F20" s="20">
        <v>56.72</v>
      </c>
      <c r="G20" s="21"/>
      <c r="H20" s="10"/>
      <c r="I20" s="10"/>
      <c r="J20" s="10"/>
      <c r="K20" s="10"/>
      <c r="L20" s="10"/>
      <c r="M20" s="10"/>
      <c r="N20" s="10"/>
    </row>
    <row r="21" ht="15.75" customHeight="1">
      <c r="A21" s="8" t="s">
        <v>1097</v>
      </c>
      <c r="B21" s="8" t="s">
        <v>64</v>
      </c>
      <c r="C21" s="8" t="s">
        <v>821</v>
      </c>
      <c r="D21" s="8" t="s">
        <v>922</v>
      </c>
      <c r="E21" s="8" t="s">
        <v>823</v>
      </c>
      <c r="F21" s="20">
        <v>50.66</v>
      </c>
      <c r="G21" s="21"/>
      <c r="H21" s="10"/>
      <c r="I21" s="10"/>
      <c r="J21" s="10"/>
      <c r="K21" s="10"/>
      <c r="L21" s="10"/>
      <c r="M21" s="10"/>
      <c r="N21" s="10"/>
    </row>
    <row r="22" ht="15.75" customHeight="1">
      <c r="A22" s="8" t="s">
        <v>1108</v>
      </c>
      <c r="B22" s="8" t="s">
        <v>64</v>
      </c>
      <c r="C22" s="8" t="s">
        <v>1005</v>
      </c>
      <c r="D22" s="8" t="s">
        <v>1111</v>
      </c>
      <c r="E22" s="8" t="s">
        <v>823</v>
      </c>
      <c r="F22" s="20">
        <v>49.02</v>
      </c>
      <c r="G22" s="21"/>
      <c r="H22" s="10"/>
      <c r="I22" s="10"/>
      <c r="J22" s="10"/>
      <c r="K22" s="10"/>
      <c r="L22" s="10"/>
      <c r="M22" s="10"/>
      <c r="N22" s="10"/>
    </row>
    <row r="23" ht="15.75" customHeight="1">
      <c r="A23" s="8" t="s">
        <v>1120</v>
      </c>
      <c r="B23" s="8" t="s">
        <v>64</v>
      </c>
      <c r="C23" s="8" t="s">
        <v>850</v>
      </c>
      <c r="D23" s="8" t="s">
        <v>934</v>
      </c>
      <c r="E23" s="8" t="s">
        <v>823</v>
      </c>
      <c r="F23" s="20">
        <v>42.0</v>
      </c>
      <c r="G23" s="21"/>
      <c r="H23" s="10"/>
      <c r="I23" s="10"/>
      <c r="J23" s="10"/>
      <c r="K23" s="10"/>
      <c r="L23" s="10"/>
      <c r="M23" s="10"/>
      <c r="N23" s="10"/>
    </row>
    <row r="24" ht="15.75" customHeight="1">
      <c r="A24" s="8" t="s">
        <v>1131</v>
      </c>
      <c r="B24" s="8" t="s">
        <v>64</v>
      </c>
      <c r="C24" s="8" t="s">
        <v>738</v>
      </c>
      <c r="D24" s="8" t="s">
        <v>970</v>
      </c>
      <c r="E24" s="8" t="s">
        <v>823</v>
      </c>
      <c r="F24" s="20">
        <v>23.2</v>
      </c>
      <c r="G24" s="21"/>
      <c r="H24" s="10"/>
      <c r="I24" s="10"/>
      <c r="J24" s="10"/>
      <c r="K24" s="10"/>
      <c r="L24" s="10"/>
      <c r="M24" s="10"/>
      <c r="N24" s="10"/>
    </row>
    <row r="25" ht="15.75" customHeight="1">
      <c r="A25" s="8" t="s">
        <v>1144</v>
      </c>
      <c r="B25" s="8" t="s">
        <v>64</v>
      </c>
      <c r="C25" s="8" t="s">
        <v>418</v>
      </c>
      <c r="D25" s="8" t="s">
        <v>1147</v>
      </c>
      <c r="E25" s="8" t="s">
        <v>1148</v>
      </c>
      <c r="F25" s="20">
        <v>20.29</v>
      </c>
      <c r="G25" s="21"/>
      <c r="H25" s="10"/>
      <c r="I25" s="10"/>
      <c r="J25" s="10"/>
      <c r="K25" s="10"/>
      <c r="L25" s="10"/>
      <c r="M25" s="10"/>
      <c r="N25" s="10"/>
    </row>
    <row r="26" ht="15.75" customHeight="1">
      <c r="A26" s="8" t="s">
        <v>1158</v>
      </c>
      <c r="B26" s="8" t="s">
        <v>81</v>
      </c>
      <c r="C26" s="8" t="s">
        <v>837</v>
      </c>
      <c r="D26" s="8" t="s">
        <v>1161</v>
      </c>
      <c r="E26" s="8" t="s">
        <v>823</v>
      </c>
      <c r="F26" s="20">
        <v>1085.48</v>
      </c>
      <c r="G26" s="21"/>
      <c r="H26" s="10"/>
      <c r="I26" s="10"/>
      <c r="J26" s="10"/>
      <c r="K26" s="10"/>
      <c r="L26" s="10"/>
      <c r="M26" s="10"/>
      <c r="N26" s="10"/>
    </row>
    <row r="27" ht="15.75" customHeight="1">
      <c r="A27" s="8" t="s">
        <v>1171</v>
      </c>
      <c r="B27" s="8" t="s">
        <v>81</v>
      </c>
      <c r="C27" s="8" t="s">
        <v>965</v>
      </c>
      <c r="D27" s="8" t="s">
        <v>1173</v>
      </c>
      <c r="E27" s="8" t="s">
        <v>823</v>
      </c>
      <c r="F27" s="20">
        <v>1003.87</v>
      </c>
      <c r="G27" s="21"/>
      <c r="H27" s="10"/>
      <c r="I27" s="10"/>
      <c r="J27" s="10"/>
      <c r="K27" s="10"/>
      <c r="L27" s="10"/>
      <c r="M27" s="10"/>
      <c r="N27" s="10"/>
    </row>
    <row r="28" ht="15.75" customHeight="1">
      <c r="A28" s="8" t="s">
        <v>1182</v>
      </c>
      <c r="B28" s="8" t="s">
        <v>81</v>
      </c>
      <c r="C28" s="8" t="s">
        <v>829</v>
      </c>
      <c r="D28" s="8" t="s">
        <v>1185</v>
      </c>
      <c r="E28" s="8" t="s">
        <v>823</v>
      </c>
      <c r="F28" s="20">
        <v>670.0</v>
      </c>
      <c r="G28" s="21"/>
      <c r="H28" s="10"/>
      <c r="I28" s="10"/>
      <c r="J28" s="22" t="s">
        <v>28</v>
      </c>
      <c r="K28" s="22" t="s">
        <v>48</v>
      </c>
      <c r="L28" s="10"/>
      <c r="M28" s="10"/>
      <c r="N28" s="22" t="s">
        <v>1194</v>
      </c>
    </row>
    <row r="29" ht="15.75" customHeight="1">
      <c r="A29" s="8" t="s">
        <v>1196</v>
      </c>
      <c r="B29" s="8" t="s">
        <v>81</v>
      </c>
      <c r="C29" s="8" t="s">
        <v>819</v>
      </c>
      <c r="D29" s="8" t="s">
        <v>1202</v>
      </c>
      <c r="E29" s="8" t="s">
        <v>27</v>
      </c>
      <c r="F29" s="20">
        <v>354.84</v>
      </c>
      <c r="G29" s="21"/>
      <c r="H29" s="10"/>
      <c r="I29" s="10"/>
      <c r="J29" s="10"/>
      <c r="K29" s="10"/>
      <c r="L29" s="10"/>
      <c r="M29" s="10"/>
      <c r="N29" s="10"/>
    </row>
    <row r="30" ht="15.75" customHeight="1">
      <c r="A30" s="8" t="s">
        <v>1207</v>
      </c>
      <c r="B30" s="8" t="s">
        <v>81</v>
      </c>
      <c r="C30" s="8" t="s">
        <v>965</v>
      </c>
      <c r="D30" s="8" t="s">
        <v>1209</v>
      </c>
      <c r="E30" s="8" t="s">
        <v>823</v>
      </c>
      <c r="F30" s="20">
        <v>358.23</v>
      </c>
      <c r="G30" s="21"/>
      <c r="H30" s="10"/>
      <c r="I30" s="10"/>
      <c r="J30" s="10"/>
      <c r="K30" s="10"/>
      <c r="L30" s="10"/>
      <c r="M30" s="10"/>
      <c r="N30" s="10"/>
    </row>
    <row r="31" ht="15.75" customHeight="1">
      <c r="A31" s="8" t="s">
        <v>1213</v>
      </c>
      <c r="B31" s="8" t="s">
        <v>81</v>
      </c>
      <c r="C31" s="8" t="s">
        <v>1117</v>
      </c>
      <c r="D31" s="8" t="s">
        <v>1214</v>
      </c>
      <c r="E31" s="8" t="s">
        <v>823</v>
      </c>
      <c r="F31" s="20">
        <v>354.53</v>
      </c>
      <c r="G31" s="21"/>
      <c r="H31" s="10"/>
      <c r="I31" s="10"/>
      <c r="J31" s="10"/>
      <c r="K31" s="10"/>
      <c r="L31" s="10"/>
      <c r="M31" s="10"/>
      <c r="N31" s="10"/>
    </row>
    <row r="32" ht="15.75" customHeight="1">
      <c r="A32" s="8" t="s">
        <v>1221</v>
      </c>
      <c r="B32" s="8" t="s">
        <v>81</v>
      </c>
      <c r="C32" s="8" t="s">
        <v>829</v>
      </c>
      <c r="D32" s="8" t="s">
        <v>1222</v>
      </c>
      <c r="E32" s="8" t="s">
        <v>27</v>
      </c>
      <c r="F32" s="20">
        <v>255.88</v>
      </c>
      <c r="G32" s="21"/>
      <c r="H32" s="10"/>
      <c r="I32" s="10"/>
      <c r="J32" s="10"/>
      <c r="K32" s="10"/>
      <c r="L32" s="10"/>
      <c r="M32" s="10"/>
      <c r="N32" s="10"/>
    </row>
    <row r="33" ht="15.75" customHeight="1">
      <c r="A33" s="8" t="s">
        <v>1225</v>
      </c>
      <c r="B33" s="8" t="s">
        <v>81</v>
      </c>
      <c r="C33" s="8" t="s">
        <v>778</v>
      </c>
      <c r="D33" s="8" t="s">
        <v>1227</v>
      </c>
      <c r="E33" s="8" t="s">
        <v>823</v>
      </c>
      <c r="F33" s="20">
        <v>165.51</v>
      </c>
      <c r="G33" s="21"/>
      <c r="H33" s="10"/>
      <c r="I33" s="10"/>
      <c r="J33" s="10"/>
      <c r="K33" s="10"/>
      <c r="L33" s="10"/>
      <c r="M33" s="10"/>
      <c r="N33" s="10"/>
    </row>
    <row r="34" ht="15.75" customHeight="1">
      <c r="A34" s="8" t="s">
        <v>1232</v>
      </c>
      <c r="B34" s="8" t="s">
        <v>98</v>
      </c>
      <c r="C34" s="8" t="s">
        <v>817</v>
      </c>
      <c r="D34" s="8" t="s">
        <v>1233</v>
      </c>
      <c r="E34" s="8" t="s">
        <v>823</v>
      </c>
      <c r="F34" s="20">
        <v>750.0</v>
      </c>
      <c r="G34" s="21"/>
      <c r="H34" s="10"/>
      <c r="I34" s="10"/>
      <c r="J34" s="22" t="s">
        <v>28</v>
      </c>
      <c r="K34" s="22" t="s">
        <v>48</v>
      </c>
      <c r="L34" s="10"/>
      <c r="M34" s="10"/>
      <c r="N34" s="22" t="s">
        <v>1237</v>
      </c>
    </row>
    <row r="35" ht="15.75" customHeight="1">
      <c r="A35" s="8" t="s">
        <v>1238</v>
      </c>
      <c r="B35" s="8" t="s">
        <v>98</v>
      </c>
      <c r="C35" s="8" t="s">
        <v>817</v>
      </c>
      <c r="D35" s="8" t="s">
        <v>1241</v>
      </c>
      <c r="E35" s="8" t="s">
        <v>27</v>
      </c>
      <c r="F35" s="20">
        <v>308.02</v>
      </c>
      <c r="G35" s="21"/>
      <c r="H35" s="10"/>
      <c r="I35" s="10"/>
      <c r="J35" s="10"/>
      <c r="K35" s="10"/>
      <c r="L35" s="10"/>
      <c r="M35" s="10"/>
      <c r="N35" s="10"/>
    </row>
    <row r="36" ht="15.75" customHeight="1">
      <c r="A36" s="8" t="s">
        <v>1244</v>
      </c>
      <c r="B36" s="8" t="s">
        <v>98</v>
      </c>
      <c r="C36" s="8" t="s">
        <v>817</v>
      </c>
      <c r="D36" s="8" t="s">
        <v>1245</v>
      </c>
      <c r="E36" s="8" t="s">
        <v>101</v>
      </c>
      <c r="F36" s="20">
        <v>28.87</v>
      </c>
      <c r="G36" s="21"/>
      <c r="H36" s="10"/>
      <c r="I36" s="10"/>
      <c r="J36" s="10"/>
      <c r="K36" s="10"/>
      <c r="L36" s="10"/>
      <c r="M36" s="10"/>
      <c r="N36" s="10"/>
    </row>
    <row r="37" ht="15.75" customHeight="1">
      <c r="A37" s="8" t="s">
        <v>1250</v>
      </c>
      <c r="B37" s="8" t="s">
        <v>98</v>
      </c>
      <c r="C37" s="8" t="s">
        <v>459</v>
      </c>
      <c r="D37" s="8" t="s">
        <v>1251</v>
      </c>
      <c r="E37" s="8" t="s">
        <v>823</v>
      </c>
      <c r="F37" s="20">
        <v>20.5</v>
      </c>
      <c r="G37" s="21"/>
      <c r="H37" s="10"/>
      <c r="I37" s="10"/>
      <c r="J37" s="10"/>
      <c r="K37" s="10"/>
      <c r="L37" s="10"/>
      <c r="M37" s="10"/>
      <c r="N37" s="10"/>
    </row>
    <row r="38" ht="15.75" customHeight="1">
      <c r="A38" s="8" t="s">
        <v>1261</v>
      </c>
      <c r="B38" s="8" t="s">
        <v>98</v>
      </c>
      <c r="C38" s="8" t="s">
        <v>849</v>
      </c>
      <c r="D38" s="8" t="s">
        <v>1262</v>
      </c>
      <c r="E38" s="8" t="s">
        <v>823</v>
      </c>
      <c r="F38" s="20">
        <v>19.72</v>
      </c>
      <c r="G38" s="21"/>
      <c r="H38" s="10"/>
      <c r="I38" s="10"/>
      <c r="J38" s="10"/>
      <c r="K38" s="10"/>
      <c r="L38" s="10"/>
      <c r="M38" s="10"/>
      <c r="N38" s="10"/>
    </row>
    <row r="39" ht="15.75" customHeight="1">
      <c r="A39" s="8" t="s">
        <v>1266</v>
      </c>
      <c r="B39" s="8" t="s">
        <v>98</v>
      </c>
      <c r="C39" s="8" t="s">
        <v>858</v>
      </c>
      <c r="D39" s="8" t="s">
        <v>1267</v>
      </c>
      <c r="E39" s="8" t="s">
        <v>1148</v>
      </c>
      <c r="F39" s="20">
        <v>18.61</v>
      </c>
      <c r="G39" s="21"/>
      <c r="H39" s="10"/>
      <c r="I39" s="10"/>
      <c r="J39" s="10"/>
      <c r="K39" s="10"/>
      <c r="L39" s="10"/>
      <c r="M39" s="10"/>
      <c r="N39" s="10"/>
    </row>
    <row r="40" ht="15.75" customHeight="1">
      <c r="A40" s="8" t="s">
        <v>1272</v>
      </c>
      <c r="B40" s="8" t="s">
        <v>98</v>
      </c>
      <c r="C40" s="8" t="s">
        <v>1006</v>
      </c>
      <c r="D40" s="8" t="s">
        <v>1273</v>
      </c>
      <c r="E40" s="8" t="s">
        <v>823</v>
      </c>
      <c r="F40" s="20">
        <v>14.32</v>
      </c>
      <c r="G40" s="21"/>
      <c r="H40" s="10"/>
      <c r="I40" s="10"/>
      <c r="J40" s="10"/>
      <c r="K40" s="10"/>
      <c r="L40" s="10"/>
      <c r="M40" s="10"/>
      <c r="N40" s="10"/>
    </row>
    <row r="41" ht="15.75" customHeight="1">
      <c r="A41" s="8" t="s">
        <v>1277</v>
      </c>
      <c r="B41" s="8" t="s">
        <v>98</v>
      </c>
      <c r="C41" s="8" t="s">
        <v>842</v>
      </c>
      <c r="D41" s="8" t="s">
        <v>1278</v>
      </c>
      <c r="E41" s="8" t="s">
        <v>823</v>
      </c>
      <c r="F41" s="20">
        <v>17.13</v>
      </c>
      <c r="G41" s="21"/>
      <c r="H41" s="10"/>
      <c r="I41" s="10"/>
      <c r="J41" s="10"/>
      <c r="K41" s="10"/>
      <c r="L41" s="10"/>
      <c r="M41" s="10"/>
      <c r="N41" s="10"/>
    </row>
    <row r="42" ht="15.75" customHeight="1">
      <c r="A42" s="8" t="s">
        <v>1281</v>
      </c>
      <c r="B42" s="8" t="s">
        <v>115</v>
      </c>
      <c r="C42" s="8" t="s">
        <v>844</v>
      </c>
      <c r="D42" s="8" t="s">
        <v>1286</v>
      </c>
      <c r="E42" s="8" t="s">
        <v>27</v>
      </c>
      <c r="F42" s="20">
        <v>248.07</v>
      </c>
      <c r="G42" s="21"/>
      <c r="H42" s="10"/>
      <c r="I42" s="10"/>
      <c r="J42" s="10"/>
      <c r="K42" s="10"/>
      <c r="L42" s="10"/>
      <c r="M42" s="10"/>
      <c r="N42" s="10"/>
    </row>
    <row r="43" ht="15.75" customHeight="1">
      <c r="A43" s="8" t="s">
        <v>1288</v>
      </c>
      <c r="B43" s="8" t="s">
        <v>115</v>
      </c>
      <c r="C43" s="8" t="s">
        <v>836</v>
      </c>
      <c r="D43" s="8" t="s">
        <v>1289</v>
      </c>
      <c r="E43" s="8" t="s">
        <v>27</v>
      </c>
      <c r="F43" s="20">
        <v>197.05</v>
      </c>
      <c r="G43" s="21"/>
      <c r="H43" s="10"/>
      <c r="I43" s="10"/>
      <c r="J43" s="10"/>
      <c r="K43" s="10"/>
      <c r="L43" s="10"/>
      <c r="M43" s="10"/>
      <c r="N43" s="10"/>
    </row>
    <row r="44" ht="15.75" customHeight="1">
      <c r="A44" s="8" t="s">
        <v>1294</v>
      </c>
      <c r="B44" s="8" t="s">
        <v>115</v>
      </c>
      <c r="C44" s="8" t="s">
        <v>844</v>
      </c>
      <c r="D44" s="8" t="s">
        <v>1295</v>
      </c>
      <c r="E44" s="8" t="s">
        <v>823</v>
      </c>
      <c r="F44" s="20">
        <v>202.57</v>
      </c>
      <c r="G44" s="21"/>
      <c r="H44" s="10"/>
      <c r="I44" s="10"/>
      <c r="J44" s="22" t="s">
        <v>28</v>
      </c>
      <c r="K44" s="22" t="s">
        <v>48</v>
      </c>
      <c r="L44" s="10"/>
      <c r="M44" s="10"/>
      <c r="N44" s="22" t="s">
        <v>1299</v>
      </c>
    </row>
    <row r="45" ht="15.75" customHeight="1">
      <c r="A45" s="8" t="s">
        <v>1300</v>
      </c>
      <c r="B45" s="8" t="s">
        <v>115</v>
      </c>
      <c r="C45" s="8" t="s">
        <v>836</v>
      </c>
      <c r="D45" s="8" t="s">
        <v>1301</v>
      </c>
      <c r="E45" s="8" t="s">
        <v>823</v>
      </c>
      <c r="F45" s="20">
        <v>175.44</v>
      </c>
      <c r="G45" s="21"/>
      <c r="H45" s="10"/>
      <c r="I45" s="10"/>
      <c r="J45" s="10"/>
      <c r="K45" s="10"/>
      <c r="L45" s="10"/>
      <c r="M45" s="10"/>
      <c r="N45" s="10"/>
    </row>
    <row r="46" ht="15.75" customHeight="1">
      <c r="A46" s="8" t="s">
        <v>1305</v>
      </c>
      <c r="B46" s="8" t="s">
        <v>115</v>
      </c>
      <c r="C46" s="8" t="s">
        <v>851</v>
      </c>
      <c r="D46" s="8" t="s">
        <v>1308</v>
      </c>
      <c r="E46" s="8" t="s">
        <v>823</v>
      </c>
      <c r="F46" s="20">
        <v>146.06</v>
      </c>
      <c r="G46" s="21"/>
      <c r="H46" s="10"/>
      <c r="I46" s="10"/>
      <c r="J46" s="10"/>
      <c r="K46" s="10"/>
      <c r="L46" s="10"/>
      <c r="M46" s="10"/>
      <c r="N46" s="10"/>
    </row>
    <row r="47" ht="15.75" customHeight="1">
      <c r="A47" s="8" t="s">
        <v>1310</v>
      </c>
      <c r="B47" s="8" t="s">
        <v>115</v>
      </c>
      <c r="C47" s="8" t="s">
        <v>841</v>
      </c>
      <c r="D47" s="8" t="s">
        <v>1311</v>
      </c>
      <c r="E47" s="8" t="s">
        <v>823</v>
      </c>
      <c r="F47" s="20">
        <v>80.2</v>
      </c>
      <c r="G47" s="21"/>
      <c r="H47" s="10"/>
      <c r="I47" s="10"/>
      <c r="J47" s="10"/>
      <c r="K47" s="10"/>
      <c r="L47" s="10"/>
      <c r="M47" s="10"/>
      <c r="N47" s="10"/>
    </row>
    <row r="48" ht="15.75" customHeight="1">
      <c r="A48" s="8" t="s">
        <v>1315</v>
      </c>
      <c r="B48" s="8" t="s">
        <v>115</v>
      </c>
      <c r="C48" s="8" t="s">
        <v>779</v>
      </c>
      <c r="D48" s="8" t="s">
        <v>1316</v>
      </c>
      <c r="E48" s="8" t="s">
        <v>823</v>
      </c>
      <c r="F48" s="20">
        <v>62.5</v>
      </c>
      <c r="G48" s="21"/>
      <c r="H48" s="10"/>
      <c r="I48" s="10"/>
      <c r="J48" s="10"/>
      <c r="K48" s="10"/>
      <c r="L48" s="10"/>
      <c r="M48" s="10"/>
      <c r="N48" s="10"/>
    </row>
    <row r="49" ht="15.75" customHeight="1">
      <c r="A49" s="8" t="s">
        <v>1319</v>
      </c>
      <c r="B49" s="8" t="s">
        <v>115</v>
      </c>
      <c r="C49" s="8" t="s">
        <v>840</v>
      </c>
      <c r="D49" s="8" t="s">
        <v>1320</v>
      </c>
      <c r="E49" s="8" t="s">
        <v>823</v>
      </c>
      <c r="F49" s="20">
        <v>52.21</v>
      </c>
      <c r="G49" s="21"/>
      <c r="H49" s="10"/>
      <c r="I49" s="10"/>
      <c r="J49" s="10"/>
      <c r="K49" s="10"/>
      <c r="L49" s="10"/>
      <c r="M49" s="10"/>
      <c r="N49" s="10"/>
    </row>
    <row r="50" ht="15.75" customHeight="1">
      <c r="A50" s="8" t="s">
        <v>1323</v>
      </c>
      <c r="B50" s="8" t="s">
        <v>130</v>
      </c>
      <c r="C50" s="8" t="s">
        <v>1163</v>
      </c>
      <c r="D50" s="8" t="s">
        <v>1324</v>
      </c>
      <c r="E50" s="8" t="s">
        <v>1325</v>
      </c>
      <c r="F50" s="20">
        <v>550.65</v>
      </c>
      <c r="G50" s="21"/>
      <c r="H50" s="10"/>
      <c r="I50" s="10"/>
      <c r="J50" s="22" t="s">
        <v>28</v>
      </c>
      <c r="K50" s="22" t="s">
        <v>48</v>
      </c>
      <c r="L50" s="10"/>
      <c r="M50" s="10"/>
      <c r="N50" s="22" t="s">
        <v>1328</v>
      </c>
    </row>
    <row r="51" ht="15.75" customHeight="1">
      <c r="A51" s="8" t="s">
        <v>1330</v>
      </c>
      <c r="B51" s="8" t="s">
        <v>130</v>
      </c>
      <c r="C51" s="8" t="s">
        <v>995</v>
      </c>
      <c r="D51" s="8" t="s">
        <v>1334</v>
      </c>
      <c r="E51" s="8" t="s">
        <v>1325</v>
      </c>
      <c r="F51" s="20">
        <v>494.75</v>
      </c>
      <c r="G51" s="21"/>
      <c r="H51" s="10"/>
      <c r="I51" s="10"/>
      <c r="J51" s="10"/>
      <c r="K51" s="10"/>
      <c r="L51" s="10"/>
      <c r="M51" s="10"/>
      <c r="N51" s="10"/>
    </row>
    <row r="52" ht="15.75" customHeight="1">
      <c r="A52" s="8" t="s">
        <v>1338</v>
      </c>
      <c r="B52" s="8" t="s">
        <v>130</v>
      </c>
      <c r="C52" s="8" t="s">
        <v>995</v>
      </c>
      <c r="D52" s="8" t="s">
        <v>1344</v>
      </c>
      <c r="E52" s="8" t="s">
        <v>823</v>
      </c>
      <c r="F52" s="20">
        <v>198.68</v>
      </c>
      <c r="G52" s="21"/>
      <c r="H52" s="10"/>
      <c r="I52" s="10"/>
      <c r="J52" s="22" t="s">
        <v>28</v>
      </c>
      <c r="K52" s="22" t="s">
        <v>48</v>
      </c>
      <c r="L52" s="10"/>
      <c r="M52" s="10"/>
      <c r="N52" s="22" t="s">
        <v>1347</v>
      </c>
    </row>
    <row r="53" ht="15.75" customHeight="1">
      <c r="A53" s="8" t="s">
        <v>1349</v>
      </c>
      <c r="B53" s="8" t="s">
        <v>130</v>
      </c>
      <c r="C53" s="8" t="s">
        <v>928</v>
      </c>
      <c r="D53" s="8" t="s">
        <v>1352</v>
      </c>
      <c r="E53" s="8" t="s">
        <v>1148</v>
      </c>
      <c r="F53" s="20">
        <v>82.4</v>
      </c>
      <c r="G53" s="21"/>
      <c r="H53" s="10"/>
      <c r="I53" s="10"/>
      <c r="J53" s="10"/>
      <c r="K53" s="10"/>
      <c r="L53" s="10"/>
      <c r="M53" s="10"/>
      <c r="N53" s="10"/>
    </row>
    <row r="54" ht="15.75" customHeight="1">
      <c r="A54" s="8" t="s">
        <v>1354</v>
      </c>
      <c r="B54" s="8" t="s">
        <v>130</v>
      </c>
      <c r="C54" s="8" t="s">
        <v>720</v>
      </c>
      <c r="D54" s="8" t="s">
        <v>1355</v>
      </c>
      <c r="E54" s="8" t="s">
        <v>823</v>
      </c>
      <c r="F54" s="20">
        <v>81.0</v>
      </c>
      <c r="G54" s="21"/>
      <c r="H54" s="10"/>
      <c r="I54" s="10"/>
      <c r="J54" s="10"/>
      <c r="K54" s="10"/>
      <c r="L54" s="10"/>
      <c r="M54" s="10"/>
      <c r="N54" s="10"/>
    </row>
    <row r="55" ht="15.75" customHeight="1">
      <c r="A55" s="8" t="s">
        <v>1359</v>
      </c>
      <c r="B55" s="8" t="s">
        <v>130</v>
      </c>
      <c r="C55" s="8" t="s">
        <v>1199</v>
      </c>
      <c r="D55" s="8" t="s">
        <v>1360</v>
      </c>
      <c r="E55" s="8" t="s">
        <v>1148</v>
      </c>
      <c r="F55" s="20">
        <v>71.73</v>
      </c>
      <c r="G55" s="21"/>
      <c r="H55" s="10"/>
      <c r="I55" s="10"/>
      <c r="J55" s="10"/>
      <c r="K55" s="10"/>
      <c r="L55" s="10"/>
      <c r="M55" s="10"/>
      <c r="N55" s="10"/>
    </row>
    <row r="56" ht="15.75" customHeight="1">
      <c r="A56" s="8" t="s">
        <v>1365</v>
      </c>
      <c r="B56" s="8" t="s">
        <v>130</v>
      </c>
      <c r="C56" s="8" t="s">
        <v>750</v>
      </c>
      <c r="D56" s="8" t="s">
        <v>1366</v>
      </c>
      <c r="E56" s="8" t="s">
        <v>823</v>
      </c>
      <c r="F56" s="20">
        <v>65.97</v>
      </c>
      <c r="G56" s="21"/>
      <c r="H56" s="10"/>
      <c r="I56" s="10"/>
      <c r="J56" s="10"/>
      <c r="K56" s="10"/>
      <c r="L56" s="10"/>
      <c r="M56" s="10"/>
      <c r="N56" s="10"/>
    </row>
    <row r="57" ht="15.75" customHeight="1">
      <c r="A57" s="8" t="s">
        <v>1373</v>
      </c>
      <c r="B57" s="8" t="s">
        <v>130</v>
      </c>
      <c r="C57" s="8" t="s">
        <v>392</v>
      </c>
      <c r="D57" s="8" t="s">
        <v>1375</v>
      </c>
      <c r="E57" s="8" t="s">
        <v>1148</v>
      </c>
      <c r="F57" s="20">
        <v>68.76</v>
      </c>
      <c r="G57" s="21"/>
      <c r="H57" s="10"/>
      <c r="I57" s="10"/>
      <c r="J57" s="10"/>
      <c r="K57" s="10"/>
      <c r="L57" s="10"/>
      <c r="M57" s="10"/>
      <c r="N57" s="10"/>
    </row>
    <row r="58" ht="15.75" customHeight="1">
      <c r="A58" s="8" t="s">
        <v>1383</v>
      </c>
      <c r="B58" s="8" t="s">
        <v>146</v>
      </c>
      <c r="C58" s="8" t="s">
        <v>1195</v>
      </c>
      <c r="D58" s="8" t="s">
        <v>1324</v>
      </c>
      <c r="E58" s="8" t="s">
        <v>1325</v>
      </c>
      <c r="F58" s="20">
        <v>604.65</v>
      </c>
      <c r="G58" s="21"/>
      <c r="H58" s="10"/>
      <c r="I58" s="10"/>
      <c r="J58" s="10"/>
      <c r="K58" s="10"/>
      <c r="L58" s="10"/>
      <c r="M58" s="10"/>
      <c r="N58" s="10"/>
    </row>
    <row r="59" ht="15.75" customHeight="1">
      <c r="A59" s="8" t="s">
        <v>1396</v>
      </c>
      <c r="B59" s="8" t="s">
        <v>146</v>
      </c>
      <c r="C59" s="8" t="s">
        <v>1163</v>
      </c>
      <c r="D59" s="8" t="s">
        <v>1398</v>
      </c>
      <c r="E59" s="8" t="s">
        <v>1325</v>
      </c>
      <c r="F59" s="20">
        <v>555.77</v>
      </c>
      <c r="G59" s="21"/>
      <c r="H59" s="10"/>
      <c r="I59" s="10"/>
      <c r="J59" s="10"/>
      <c r="K59" s="10"/>
      <c r="L59" s="10"/>
      <c r="M59" s="10"/>
      <c r="N59" s="10"/>
    </row>
    <row r="60" ht="15.75" customHeight="1">
      <c r="A60" s="8" t="s">
        <v>1411</v>
      </c>
      <c r="B60" s="8" t="s">
        <v>146</v>
      </c>
      <c r="C60" s="8" t="s">
        <v>1195</v>
      </c>
      <c r="D60" s="8" t="s">
        <v>1344</v>
      </c>
      <c r="E60" s="8" t="s">
        <v>823</v>
      </c>
      <c r="F60" s="20">
        <v>246.98</v>
      </c>
      <c r="G60" s="21"/>
      <c r="H60" s="10"/>
      <c r="I60" s="10"/>
      <c r="J60" s="10"/>
      <c r="K60" s="10"/>
      <c r="L60" s="10"/>
      <c r="M60" s="10"/>
      <c r="N60" s="10"/>
    </row>
    <row r="61" ht="15.75" customHeight="1">
      <c r="A61" s="8" t="s">
        <v>1417</v>
      </c>
      <c r="B61" s="8" t="s">
        <v>146</v>
      </c>
      <c r="C61" s="8" t="s">
        <v>1033</v>
      </c>
      <c r="D61" s="8" t="s">
        <v>1352</v>
      </c>
      <c r="E61" s="8" t="s">
        <v>1148</v>
      </c>
      <c r="F61" s="20">
        <v>225.54</v>
      </c>
      <c r="G61" s="21"/>
      <c r="H61" s="10"/>
      <c r="I61" s="10"/>
      <c r="J61" s="22" t="s">
        <v>28</v>
      </c>
      <c r="K61" s="22" t="s">
        <v>48</v>
      </c>
      <c r="L61" s="10"/>
      <c r="M61" s="10"/>
      <c r="N61" s="22" t="s">
        <v>1421</v>
      </c>
    </row>
    <row r="62" ht="15.75" customHeight="1">
      <c r="A62" s="8" t="s">
        <v>1422</v>
      </c>
      <c r="B62" s="8" t="s">
        <v>146</v>
      </c>
      <c r="C62" s="8" t="s">
        <v>762</v>
      </c>
      <c r="D62" s="8" t="s">
        <v>1424</v>
      </c>
      <c r="E62" s="8" t="s">
        <v>823</v>
      </c>
      <c r="F62" s="20">
        <v>75.0</v>
      </c>
      <c r="G62" s="21"/>
      <c r="H62" s="10"/>
      <c r="I62" s="10"/>
      <c r="J62" s="10"/>
      <c r="K62" s="10"/>
      <c r="L62" s="10"/>
      <c r="M62" s="10"/>
      <c r="N62" s="10"/>
    </row>
    <row r="63" ht="15.75" customHeight="1">
      <c r="A63" s="8" t="s">
        <v>1430</v>
      </c>
      <c r="B63" s="8" t="s">
        <v>146</v>
      </c>
      <c r="C63" s="8" t="s">
        <v>701</v>
      </c>
      <c r="D63" s="8" t="s">
        <v>1431</v>
      </c>
      <c r="E63" s="8" t="s">
        <v>1148</v>
      </c>
      <c r="F63" s="20">
        <v>70.5</v>
      </c>
      <c r="G63" s="21"/>
      <c r="H63" s="10"/>
      <c r="I63" s="10"/>
      <c r="J63" s="10"/>
      <c r="K63" s="10"/>
      <c r="L63" s="10"/>
      <c r="M63" s="10"/>
      <c r="N63" s="10"/>
    </row>
    <row r="64" ht="15.75" customHeight="1">
      <c r="A64" s="8" t="s">
        <v>1433</v>
      </c>
      <c r="B64" s="8" t="s">
        <v>146</v>
      </c>
      <c r="C64" s="8" t="s">
        <v>909</v>
      </c>
      <c r="D64" s="8" t="s">
        <v>1435</v>
      </c>
      <c r="E64" s="8" t="s">
        <v>823</v>
      </c>
      <c r="F64" s="20">
        <v>61.78</v>
      </c>
      <c r="G64" s="21"/>
      <c r="H64" s="10"/>
      <c r="I64" s="10"/>
      <c r="J64" s="10"/>
      <c r="K64" s="10"/>
      <c r="L64" s="10"/>
      <c r="M64" s="10"/>
      <c r="N64" s="10"/>
    </row>
    <row r="65" ht="15.75" customHeight="1">
      <c r="A65" s="8" t="s">
        <v>1439</v>
      </c>
      <c r="B65" s="8" t="s">
        <v>146</v>
      </c>
      <c r="C65" s="8" t="s">
        <v>1170</v>
      </c>
      <c r="D65" s="8" t="s">
        <v>1044</v>
      </c>
      <c r="E65" s="8" t="s">
        <v>1148</v>
      </c>
      <c r="F65" s="20">
        <v>59.51</v>
      </c>
      <c r="G65" s="21"/>
      <c r="H65" s="10"/>
      <c r="I65" s="10"/>
      <c r="J65" s="10"/>
      <c r="K65" s="10"/>
      <c r="L65" s="10"/>
      <c r="M65" s="10"/>
      <c r="N65" s="10"/>
    </row>
    <row r="66" ht="15.75" customHeight="1">
      <c r="A66" s="8" t="s">
        <v>1444</v>
      </c>
      <c r="B66" s="8" t="s">
        <v>161</v>
      </c>
      <c r="C66" s="8" t="s">
        <v>1117</v>
      </c>
      <c r="D66" s="8" t="s">
        <v>1445</v>
      </c>
      <c r="E66" s="8" t="s">
        <v>823</v>
      </c>
      <c r="F66" s="20">
        <v>519.48</v>
      </c>
      <c r="G66" s="21"/>
      <c r="H66" s="10"/>
      <c r="I66" s="10"/>
      <c r="J66" s="22" t="s">
        <v>28</v>
      </c>
      <c r="K66" s="22" t="s">
        <v>48</v>
      </c>
      <c r="L66" s="10"/>
      <c r="M66" s="10"/>
      <c r="N66" s="22" t="s">
        <v>1448</v>
      </c>
    </row>
    <row r="67" ht="15.75" customHeight="1">
      <c r="A67" s="8" t="s">
        <v>1449</v>
      </c>
      <c r="B67" s="8" t="s">
        <v>161</v>
      </c>
      <c r="C67" s="8" t="s">
        <v>444</v>
      </c>
      <c r="D67" s="8" t="s">
        <v>1450</v>
      </c>
      <c r="E67" s="8" t="s">
        <v>823</v>
      </c>
      <c r="F67" s="20">
        <v>228.49</v>
      </c>
      <c r="G67" s="21"/>
      <c r="H67" s="10"/>
      <c r="I67" s="10"/>
      <c r="J67" s="10"/>
      <c r="K67" s="10"/>
      <c r="L67" s="10"/>
      <c r="M67" s="10"/>
      <c r="N67" s="10"/>
    </row>
    <row r="68" ht="15.75" customHeight="1">
      <c r="A68" s="8" t="s">
        <v>1453</v>
      </c>
      <c r="B68" s="8" t="s">
        <v>161</v>
      </c>
      <c r="C68" s="8" t="s">
        <v>562</v>
      </c>
      <c r="D68" s="8" t="s">
        <v>1455</v>
      </c>
      <c r="E68" s="8" t="s">
        <v>823</v>
      </c>
      <c r="F68" s="20">
        <v>138.02</v>
      </c>
      <c r="G68" s="21"/>
      <c r="H68" s="10"/>
      <c r="I68" s="10"/>
      <c r="J68" s="10"/>
      <c r="K68" s="10"/>
      <c r="L68" s="10"/>
      <c r="M68" s="10"/>
      <c r="N68" s="10"/>
    </row>
    <row r="69" ht="15.75" customHeight="1">
      <c r="A69" s="8" t="s">
        <v>1456</v>
      </c>
      <c r="B69" s="8" t="s">
        <v>161</v>
      </c>
      <c r="C69" s="8" t="s">
        <v>1121</v>
      </c>
      <c r="D69" s="8" t="s">
        <v>1457</v>
      </c>
      <c r="E69" s="8" t="s">
        <v>823</v>
      </c>
      <c r="F69" s="20">
        <v>100.0</v>
      </c>
      <c r="G69" s="21"/>
      <c r="H69" s="10"/>
      <c r="I69" s="10"/>
      <c r="J69" s="10"/>
      <c r="K69" s="10"/>
      <c r="L69" s="10"/>
      <c r="M69" s="10"/>
      <c r="N69" s="10"/>
    </row>
    <row r="70" ht="15.75" customHeight="1">
      <c r="A70" s="8" t="s">
        <v>1460</v>
      </c>
      <c r="B70" s="8" t="s">
        <v>161</v>
      </c>
      <c r="C70" s="8" t="s">
        <v>1119</v>
      </c>
      <c r="D70" s="8" t="s">
        <v>1461</v>
      </c>
      <c r="E70" s="8" t="s">
        <v>823</v>
      </c>
      <c r="F70" s="20">
        <v>100.4</v>
      </c>
      <c r="G70" s="21"/>
      <c r="H70" s="10"/>
      <c r="I70" s="10"/>
      <c r="J70" s="10"/>
      <c r="K70" s="10"/>
      <c r="L70" s="10"/>
      <c r="M70" s="10"/>
      <c r="N70" s="10"/>
    </row>
    <row r="71" ht="15.75" customHeight="1">
      <c r="A71" s="8" t="s">
        <v>1464</v>
      </c>
      <c r="B71" s="8" t="s">
        <v>161</v>
      </c>
      <c r="C71" s="8" t="s">
        <v>1109</v>
      </c>
      <c r="D71" s="8" t="s">
        <v>1465</v>
      </c>
      <c r="E71" s="8" t="s">
        <v>823</v>
      </c>
      <c r="F71" s="20">
        <v>60.25</v>
      </c>
      <c r="G71" s="21"/>
      <c r="H71" s="10"/>
      <c r="I71" s="10"/>
      <c r="J71" s="10"/>
      <c r="K71" s="10"/>
      <c r="L71" s="10"/>
      <c r="M71" s="10"/>
      <c r="N71" s="10"/>
    </row>
    <row r="72" ht="15.75" customHeight="1">
      <c r="A72" s="8" t="s">
        <v>1468</v>
      </c>
      <c r="B72" s="8" t="s">
        <v>161</v>
      </c>
      <c r="C72" s="8" t="s">
        <v>1117</v>
      </c>
      <c r="D72" s="8" t="s">
        <v>1469</v>
      </c>
      <c r="E72" s="8" t="s">
        <v>1470</v>
      </c>
      <c r="F72" s="20">
        <v>58.0</v>
      </c>
      <c r="G72" s="21"/>
      <c r="H72" s="10"/>
      <c r="I72" s="10"/>
      <c r="J72" s="10"/>
      <c r="K72" s="10"/>
      <c r="L72" s="10"/>
      <c r="M72" s="10"/>
      <c r="N72" s="10"/>
    </row>
    <row r="73" ht="15.75" customHeight="1">
      <c r="A73" s="8" t="s">
        <v>1473</v>
      </c>
      <c r="B73" s="8" t="s">
        <v>161</v>
      </c>
      <c r="C73" s="8" t="s">
        <v>892</v>
      </c>
      <c r="D73" s="8" t="s">
        <v>1474</v>
      </c>
      <c r="E73" s="8" t="s">
        <v>1148</v>
      </c>
      <c r="F73" s="20">
        <v>65.0</v>
      </c>
      <c r="G73" s="21"/>
      <c r="H73" s="10"/>
      <c r="I73" s="10"/>
      <c r="J73" s="10"/>
      <c r="K73" s="10"/>
      <c r="L73" s="10"/>
      <c r="M73" s="10"/>
      <c r="N73" s="10"/>
    </row>
    <row r="74" ht="15.75" customHeight="1">
      <c r="A74" s="8" t="s">
        <v>1476</v>
      </c>
      <c r="B74" s="8" t="s">
        <v>177</v>
      </c>
      <c r="C74" s="8" t="s">
        <v>778</v>
      </c>
      <c r="D74" s="8" t="s">
        <v>1316</v>
      </c>
      <c r="E74" s="8" t="s">
        <v>823</v>
      </c>
      <c r="F74" s="20">
        <v>103.7</v>
      </c>
      <c r="G74" s="21"/>
      <c r="H74" s="10"/>
      <c r="I74" s="10"/>
      <c r="J74" s="10"/>
      <c r="K74" s="10"/>
      <c r="L74" s="10"/>
      <c r="M74" s="10"/>
      <c r="N74" s="10"/>
    </row>
    <row r="75" ht="15.75" customHeight="1">
      <c r="A75" s="8" t="s">
        <v>1478</v>
      </c>
      <c r="B75" s="8" t="s">
        <v>177</v>
      </c>
      <c r="C75" s="8" t="s">
        <v>1014</v>
      </c>
      <c r="D75" s="8" t="s">
        <v>1289</v>
      </c>
      <c r="E75" s="8" t="s">
        <v>823</v>
      </c>
      <c r="F75" s="20">
        <v>60.15</v>
      </c>
      <c r="G75" s="21"/>
      <c r="H75" s="10"/>
      <c r="I75" s="10"/>
      <c r="J75" s="10"/>
      <c r="K75" s="10"/>
      <c r="L75" s="10"/>
      <c r="M75" s="10"/>
      <c r="N75" s="10"/>
    </row>
    <row r="76" ht="15.75" customHeight="1">
      <c r="A76" s="8" t="s">
        <v>1481</v>
      </c>
      <c r="B76" s="8" t="s">
        <v>177</v>
      </c>
      <c r="C76" s="8" t="s">
        <v>912</v>
      </c>
      <c r="D76" s="8" t="s">
        <v>1483</v>
      </c>
      <c r="E76" s="8" t="s">
        <v>823</v>
      </c>
      <c r="F76" s="20">
        <v>45.0</v>
      </c>
      <c r="G76" s="21"/>
      <c r="H76" s="10"/>
      <c r="I76" s="10"/>
      <c r="J76" s="10"/>
      <c r="K76" s="10"/>
      <c r="L76" s="10"/>
      <c r="M76" s="10"/>
      <c r="N76" s="10"/>
    </row>
    <row r="77" ht="15.75" customHeight="1">
      <c r="A77" s="8" t="s">
        <v>1486</v>
      </c>
      <c r="B77" s="8" t="s">
        <v>177</v>
      </c>
      <c r="C77" s="8" t="s">
        <v>726</v>
      </c>
      <c r="D77" s="8" t="s">
        <v>1487</v>
      </c>
      <c r="E77" s="8" t="s">
        <v>823</v>
      </c>
      <c r="F77" s="20">
        <v>34.53</v>
      </c>
      <c r="G77" s="21"/>
      <c r="H77" s="10"/>
      <c r="I77" s="10"/>
      <c r="J77" s="10"/>
      <c r="K77" s="10"/>
      <c r="L77" s="10"/>
      <c r="M77" s="10"/>
      <c r="N77" s="10"/>
    </row>
    <row r="78" ht="15.75" customHeight="1">
      <c r="A78" s="8" t="s">
        <v>1489</v>
      </c>
      <c r="B78" s="8" t="s">
        <v>177</v>
      </c>
      <c r="C78" s="8" t="s">
        <v>716</v>
      </c>
      <c r="D78" s="8" t="s">
        <v>1490</v>
      </c>
      <c r="E78" s="8" t="s">
        <v>823</v>
      </c>
      <c r="F78" s="20">
        <v>30.44</v>
      </c>
      <c r="G78" s="21"/>
      <c r="H78" s="10"/>
      <c r="I78" s="10"/>
      <c r="J78" s="10"/>
      <c r="K78" s="10"/>
      <c r="L78" s="10"/>
      <c r="M78" s="10"/>
      <c r="N78" s="10"/>
    </row>
    <row r="79" ht="15.75" customHeight="1">
      <c r="A79" s="8" t="s">
        <v>1494</v>
      </c>
      <c r="B79" s="8" t="s">
        <v>177</v>
      </c>
      <c r="C79" s="8" t="s">
        <v>911</v>
      </c>
      <c r="D79" s="8" t="s">
        <v>1366</v>
      </c>
      <c r="E79" s="8" t="s">
        <v>1148</v>
      </c>
      <c r="F79" s="20">
        <v>17.0</v>
      </c>
      <c r="G79" s="21"/>
      <c r="H79" s="10"/>
      <c r="I79" s="10"/>
      <c r="J79" s="10"/>
      <c r="K79" s="10"/>
      <c r="L79" s="10"/>
      <c r="M79" s="10"/>
      <c r="N79" s="10"/>
    </row>
    <row r="80" ht="15.75" customHeight="1">
      <c r="A80" s="8" t="s">
        <v>1496</v>
      </c>
      <c r="B80" s="8" t="s">
        <v>177</v>
      </c>
      <c r="C80" s="8" t="s">
        <v>260</v>
      </c>
      <c r="D80" s="8" t="s">
        <v>1497</v>
      </c>
      <c r="E80" s="8" t="s">
        <v>1148</v>
      </c>
      <c r="F80" s="20">
        <v>23.5</v>
      </c>
      <c r="G80" s="21"/>
      <c r="H80" s="10"/>
      <c r="I80" s="10"/>
      <c r="J80" s="10"/>
      <c r="K80" s="10"/>
      <c r="L80" s="10"/>
      <c r="M80" s="10"/>
      <c r="N80" s="10"/>
    </row>
    <row r="81" ht="15.75" customHeight="1">
      <c r="A81" s="8" t="s">
        <v>1499</v>
      </c>
      <c r="B81" s="8" t="s">
        <v>177</v>
      </c>
      <c r="C81" s="8" t="s">
        <v>1169</v>
      </c>
      <c r="D81" s="8" t="s">
        <v>1320</v>
      </c>
      <c r="E81" s="8" t="s">
        <v>823</v>
      </c>
      <c r="F81" s="20">
        <v>19.99</v>
      </c>
      <c r="G81" s="21"/>
      <c r="H81" s="10"/>
      <c r="I81" s="10"/>
      <c r="J81" s="10"/>
      <c r="K81" s="10"/>
      <c r="L81" s="10"/>
      <c r="M81" s="10"/>
      <c r="N81" s="10"/>
    </row>
    <row r="82" ht="15.75" customHeight="1">
      <c r="A82" s="8" t="s">
        <v>1501</v>
      </c>
      <c r="B82" s="8" t="s">
        <v>199</v>
      </c>
      <c r="C82" s="8" t="s">
        <v>1149</v>
      </c>
      <c r="D82" s="8" t="s">
        <v>1497</v>
      </c>
      <c r="E82" s="8" t="s">
        <v>823</v>
      </c>
      <c r="F82" s="20">
        <v>1420.0</v>
      </c>
      <c r="G82" s="21"/>
      <c r="H82" s="10"/>
      <c r="I82" s="10"/>
      <c r="J82" s="10"/>
      <c r="K82" s="10"/>
      <c r="L82" s="10"/>
      <c r="M82" s="10"/>
      <c r="N82" s="10"/>
    </row>
    <row r="83" ht="15.75" customHeight="1">
      <c r="A83" s="8" t="s">
        <v>1505</v>
      </c>
      <c r="B83" s="8" t="s">
        <v>199</v>
      </c>
      <c r="C83" s="8" t="s">
        <v>1098</v>
      </c>
      <c r="D83" s="8" t="s">
        <v>1507</v>
      </c>
      <c r="E83" s="8" t="s">
        <v>823</v>
      </c>
      <c r="F83" s="20">
        <v>433.5</v>
      </c>
      <c r="G83" s="21"/>
      <c r="H83" s="10"/>
      <c r="I83" s="10"/>
      <c r="J83" s="10"/>
      <c r="K83" s="10"/>
      <c r="L83" s="10"/>
      <c r="M83" s="10"/>
      <c r="N83" s="10"/>
    </row>
    <row r="84" ht="15.75" customHeight="1">
      <c r="A84" s="8" t="s">
        <v>1510</v>
      </c>
      <c r="B84" s="8" t="s">
        <v>199</v>
      </c>
      <c r="C84" s="8" t="s">
        <v>773</v>
      </c>
      <c r="D84" s="8" t="s">
        <v>1511</v>
      </c>
      <c r="E84" s="8" t="s">
        <v>823</v>
      </c>
      <c r="F84" s="20">
        <v>302.5</v>
      </c>
      <c r="G84" s="21"/>
      <c r="H84" s="10"/>
      <c r="I84" s="10"/>
      <c r="J84" s="10"/>
      <c r="K84" s="10"/>
      <c r="L84" s="10"/>
      <c r="M84" s="10"/>
      <c r="N84" s="10"/>
    </row>
    <row r="85" ht="15.75" customHeight="1">
      <c r="A85" s="8" t="s">
        <v>1512</v>
      </c>
      <c r="B85" s="8" t="s">
        <v>199</v>
      </c>
      <c r="C85" s="8" t="s">
        <v>557</v>
      </c>
      <c r="D85" s="8" t="s">
        <v>1514</v>
      </c>
      <c r="E85" s="8" t="s">
        <v>823</v>
      </c>
      <c r="F85" s="20">
        <v>298.99</v>
      </c>
      <c r="G85" s="21"/>
      <c r="H85" s="10"/>
      <c r="I85" s="10"/>
      <c r="J85" s="10"/>
      <c r="K85" s="10"/>
      <c r="L85" s="10"/>
      <c r="M85" s="10"/>
      <c r="N85" s="10"/>
    </row>
    <row r="86" ht="15.75" customHeight="1">
      <c r="A86" s="8" t="s">
        <v>1517</v>
      </c>
      <c r="B86" s="8" t="s">
        <v>199</v>
      </c>
      <c r="C86" s="8" t="s">
        <v>1157</v>
      </c>
      <c r="D86" s="8" t="s">
        <v>1518</v>
      </c>
      <c r="E86" s="8" t="s">
        <v>823</v>
      </c>
      <c r="F86" s="20">
        <v>275.0</v>
      </c>
      <c r="G86" s="21"/>
      <c r="H86" s="10"/>
      <c r="I86" s="10"/>
      <c r="J86" s="10"/>
      <c r="K86" s="10"/>
      <c r="L86" s="10"/>
      <c r="M86" s="10"/>
      <c r="N86" s="10"/>
    </row>
    <row r="87" ht="15.75" customHeight="1">
      <c r="A87" s="8" t="s">
        <v>1521</v>
      </c>
      <c r="B87" s="8" t="s">
        <v>199</v>
      </c>
      <c r="C87" s="8" t="s">
        <v>657</v>
      </c>
      <c r="D87" s="8" t="s">
        <v>1522</v>
      </c>
      <c r="E87" s="8" t="s">
        <v>823</v>
      </c>
      <c r="F87" s="20">
        <v>253.51</v>
      </c>
      <c r="G87" s="21"/>
      <c r="H87" s="10"/>
      <c r="I87" s="10"/>
      <c r="J87" s="10"/>
      <c r="K87" s="10"/>
      <c r="L87" s="10"/>
      <c r="M87" s="10"/>
      <c r="N87" s="10"/>
    </row>
    <row r="88" ht="15.75" customHeight="1">
      <c r="A88" s="8" t="s">
        <v>1524</v>
      </c>
      <c r="B88" s="8" t="s">
        <v>199</v>
      </c>
      <c r="C88" s="8" t="s">
        <v>591</v>
      </c>
      <c r="D88" s="8" t="s">
        <v>1525</v>
      </c>
      <c r="E88" s="8" t="s">
        <v>823</v>
      </c>
      <c r="F88" s="20">
        <v>212.48</v>
      </c>
      <c r="G88" s="21"/>
      <c r="H88" s="10"/>
      <c r="I88" s="10"/>
      <c r="J88" s="10"/>
      <c r="K88" s="10"/>
      <c r="L88" s="10"/>
      <c r="M88" s="10"/>
      <c r="N88" s="10"/>
    </row>
    <row r="89" ht="15.75" customHeight="1">
      <c r="A89" s="8" t="s">
        <v>1527</v>
      </c>
      <c r="B89" s="8" t="s">
        <v>199</v>
      </c>
      <c r="C89" s="8" t="s">
        <v>744</v>
      </c>
      <c r="D89" s="8" t="s">
        <v>1528</v>
      </c>
      <c r="E89" s="8" t="s">
        <v>823</v>
      </c>
      <c r="F89" s="20">
        <v>199.5</v>
      </c>
      <c r="G89" s="21"/>
      <c r="H89" s="10"/>
      <c r="I89" s="10"/>
      <c r="J89" s="10"/>
      <c r="K89" s="10"/>
      <c r="L89" s="10"/>
      <c r="M89" s="10"/>
      <c r="N89" s="10"/>
    </row>
    <row r="90" ht="15.75" customHeight="1">
      <c r="A90" s="8" t="s">
        <v>1532</v>
      </c>
      <c r="B90" s="8" t="s">
        <v>209</v>
      </c>
      <c r="C90" s="8" t="s">
        <v>965</v>
      </c>
      <c r="D90" s="8" t="s">
        <v>1533</v>
      </c>
      <c r="E90" s="8" t="s">
        <v>823</v>
      </c>
      <c r="F90" s="20">
        <v>292.71</v>
      </c>
      <c r="G90" s="21"/>
      <c r="H90" s="10"/>
      <c r="I90" s="10"/>
      <c r="J90" s="10"/>
      <c r="K90" s="10"/>
      <c r="L90" s="10"/>
      <c r="M90" s="10"/>
      <c r="N90" s="10"/>
    </row>
    <row r="91" ht="15.75" customHeight="1">
      <c r="A91" s="8" t="s">
        <v>1535</v>
      </c>
      <c r="B91" s="8" t="s">
        <v>209</v>
      </c>
      <c r="C91" s="8" t="s">
        <v>770</v>
      </c>
      <c r="D91" s="8" t="s">
        <v>1538</v>
      </c>
      <c r="E91" s="8" t="s">
        <v>823</v>
      </c>
      <c r="F91" s="20">
        <v>171.5</v>
      </c>
      <c r="G91" s="21"/>
      <c r="H91" s="10"/>
      <c r="I91" s="10"/>
      <c r="J91" s="10"/>
      <c r="K91" s="10"/>
      <c r="L91" s="10"/>
      <c r="M91" s="10"/>
      <c r="N91" s="10"/>
    </row>
    <row r="92" ht="15.75" customHeight="1">
      <c r="A92" s="8" t="s">
        <v>1542</v>
      </c>
      <c r="B92" s="8" t="s">
        <v>209</v>
      </c>
      <c r="C92" s="8" t="s">
        <v>876</v>
      </c>
      <c r="D92" s="8" t="s">
        <v>1543</v>
      </c>
      <c r="E92" s="8" t="s">
        <v>823</v>
      </c>
      <c r="F92" s="20">
        <v>115.88</v>
      </c>
      <c r="G92" s="21"/>
      <c r="H92" s="10"/>
      <c r="I92" s="10"/>
      <c r="J92" s="10"/>
      <c r="K92" s="10"/>
      <c r="L92" s="10"/>
      <c r="M92" s="10"/>
      <c r="N92" s="10"/>
    </row>
    <row r="93" ht="15.75" customHeight="1">
      <c r="A93" s="8" t="s">
        <v>1546</v>
      </c>
      <c r="B93" s="8" t="s">
        <v>209</v>
      </c>
      <c r="C93" s="8" t="s">
        <v>965</v>
      </c>
      <c r="D93" s="8" t="s">
        <v>1547</v>
      </c>
      <c r="E93" s="8" t="s">
        <v>1470</v>
      </c>
      <c r="F93" s="20">
        <v>85.96</v>
      </c>
      <c r="G93" s="21"/>
      <c r="H93" s="10"/>
      <c r="I93" s="10"/>
      <c r="J93" s="10"/>
      <c r="K93" s="10"/>
      <c r="L93" s="10"/>
      <c r="M93" s="10"/>
      <c r="N93" s="10"/>
    </row>
    <row r="94" ht="15.75" customHeight="1">
      <c r="A94" s="8" t="s">
        <v>1548</v>
      </c>
      <c r="B94" s="8" t="s">
        <v>209</v>
      </c>
      <c r="C94" s="8" t="s">
        <v>506</v>
      </c>
      <c r="D94" s="8" t="s">
        <v>1550</v>
      </c>
      <c r="E94" s="8" t="s">
        <v>823</v>
      </c>
      <c r="F94" s="20">
        <v>32.77</v>
      </c>
      <c r="G94" s="21"/>
      <c r="H94" s="10"/>
      <c r="I94" s="10"/>
      <c r="J94" s="10"/>
      <c r="K94" s="10"/>
      <c r="L94" s="10"/>
      <c r="M94" s="10"/>
      <c r="N94" s="10"/>
    </row>
    <row r="95" ht="15.75" customHeight="1">
      <c r="A95" s="8" t="s">
        <v>1551</v>
      </c>
      <c r="B95" s="8" t="s">
        <v>209</v>
      </c>
      <c r="C95" s="8" t="s">
        <v>720</v>
      </c>
      <c r="D95" s="8" t="s">
        <v>1469</v>
      </c>
      <c r="E95" s="8" t="s">
        <v>823</v>
      </c>
      <c r="F95" s="20">
        <v>32.36</v>
      </c>
      <c r="G95" s="21"/>
      <c r="H95" s="10"/>
      <c r="I95" s="10"/>
      <c r="J95" s="10"/>
      <c r="K95" s="10"/>
      <c r="L95" s="10"/>
      <c r="M95" s="10"/>
      <c r="N95" s="10"/>
    </row>
    <row r="96" ht="15.75" customHeight="1">
      <c r="A96" s="8" t="s">
        <v>1555</v>
      </c>
      <c r="B96" s="8" t="s">
        <v>209</v>
      </c>
      <c r="C96" s="8" t="s">
        <v>772</v>
      </c>
      <c r="D96" s="8" t="s">
        <v>1556</v>
      </c>
      <c r="E96" s="8" t="s">
        <v>1148</v>
      </c>
      <c r="F96" s="20">
        <v>34.44</v>
      </c>
      <c r="G96" s="21"/>
      <c r="H96" s="10"/>
      <c r="I96" s="10"/>
      <c r="J96" s="10"/>
      <c r="K96" s="10"/>
      <c r="L96" s="10"/>
      <c r="M96" s="10"/>
      <c r="N96" s="10"/>
    </row>
    <row r="97" ht="15.75" customHeight="1">
      <c r="A97" s="8" t="s">
        <v>1557</v>
      </c>
      <c r="B97" s="8" t="s">
        <v>209</v>
      </c>
      <c r="C97" s="8" t="s">
        <v>137</v>
      </c>
      <c r="D97" s="8" t="s">
        <v>1560</v>
      </c>
      <c r="E97" s="8" t="s">
        <v>823</v>
      </c>
      <c r="F97" s="20">
        <v>30.8</v>
      </c>
      <c r="G97" s="21"/>
      <c r="H97" s="10"/>
      <c r="I97" s="10"/>
      <c r="J97" s="10"/>
      <c r="K97" s="10"/>
      <c r="L97" s="10"/>
      <c r="M97" s="10"/>
      <c r="N97" s="10"/>
    </row>
    <row r="98" ht="15.75" customHeight="1">
      <c r="A98" s="8" t="s">
        <v>1563</v>
      </c>
      <c r="B98" s="8" t="s">
        <v>218</v>
      </c>
      <c r="C98" s="8" t="s">
        <v>1079</v>
      </c>
      <c r="D98" s="8" t="s">
        <v>1565</v>
      </c>
      <c r="E98" s="8" t="s">
        <v>1148</v>
      </c>
      <c r="F98" s="20">
        <v>111.25</v>
      </c>
      <c r="G98" s="21"/>
      <c r="H98" s="10"/>
      <c r="I98" s="10"/>
      <c r="J98" s="10"/>
      <c r="K98" s="10"/>
      <c r="L98" s="10"/>
      <c r="M98" s="10"/>
      <c r="N98" s="10"/>
    </row>
    <row r="99" ht="15.75" customHeight="1">
      <c r="A99" s="8" t="s">
        <v>1566</v>
      </c>
      <c r="B99" s="8" t="s">
        <v>218</v>
      </c>
      <c r="C99" s="8" t="s">
        <v>368</v>
      </c>
      <c r="D99" s="8" t="s">
        <v>1360</v>
      </c>
      <c r="E99" s="8" t="s">
        <v>1148</v>
      </c>
      <c r="F99" s="20">
        <v>100.47</v>
      </c>
      <c r="G99" s="21"/>
      <c r="H99" s="10"/>
      <c r="I99" s="10"/>
      <c r="J99" s="10"/>
      <c r="K99" s="10"/>
      <c r="L99" s="10"/>
      <c r="M99" s="10"/>
      <c r="N99" s="10"/>
    </row>
    <row r="100" ht="15.75" customHeight="1">
      <c r="A100" s="8" t="s">
        <v>1571</v>
      </c>
      <c r="B100" s="8" t="s">
        <v>218</v>
      </c>
      <c r="C100" s="8" t="s">
        <v>453</v>
      </c>
      <c r="D100" s="8" t="s">
        <v>1355</v>
      </c>
      <c r="E100" s="8" t="s">
        <v>823</v>
      </c>
      <c r="F100" s="20">
        <v>61.75</v>
      </c>
      <c r="G100" s="21"/>
      <c r="H100" s="10"/>
      <c r="I100" s="10"/>
      <c r="J100" s="10"/>
      <c r="K100" s="10"/>
      <c r="L100" s="10"/>
      <c r="M100" s="10"/>
      <c r="N100" s="10"/>
    </row>
    <row r="101" ht="15.75" customHeight="1">
      <c r="A101" s="8" t="s">
        <v>1573</v>
      </c>
      <c r="B101" s="8" t="s">
        <v>218</v>
      </c>
      <c r="C101" s="8" t="s">
        <v>719</v>
      </c>
      <c r="D101" s="8" t="s">
        <v>1366</v>
      </c>
      <c r="E101" s="8" t="s">
        <v>823</v>
      </c>
      <c r="F101" s="20">
        <v>30.0</v>
      </c>
      <c r="G101" s="21"/>
      <c r="H101" s="10"/>
      <c r="I101" s="10"/>
      <c r="J101" s="10"/>
      <c r="K101" s="10"/>
      <c r="L101" s="10"/>
      <c r="M101" s="10"/>
      <c r="N101" s="10"/>
    </row>
    <row r="102" ht="15.75" customHeight="1">
      <c r="A102" s="8" t="s">
        <v>1575</v>
      </c>
      <c r="B102" s="8" t="s">
        <v>218</v>
      </c>
      <c r="C102" s="8" t="s">
        <v>1123</v>
      </c>
      <c r="D102" s="8" t="s">
        <v>1435</v>
      </c>
      <c r="E102" s="8" t="s">
        <v>823</v>
      </c>
      <c r="F102" s="20">
        <v>38.25</v>
      </c>
      <c r="G102" s="21"/>
      <c r="H102" s="10"/>
      <c r="I102" s="10"/>
      <c r="J102" s="10"/>
      <c r="K102" s="10"/>
      <c r="L102" s="10"/>
      <c r="M102" s="10"/>
      <c r="N102" s="10"/>
    </row>
    <row r="103" ht="15.75" customHeight="1">
      <c r="A103" s="8" t="s">
        <v>1576</v>
      </c>
      <c r="B103" s="8" t="s">
        <v>218</v>
      </c>
      <c r="C103" s="8" t="s">
        <v>627</v>
      </c>
      <c r="D103" s="8" t="s">
        <v>1578</v>
      </c>
      <c r="E103" s="8" t="s">
        <v>823</v>
      </c>
      <c r="F103" s="20">
        <v>19.63</v>
      </c>
      <c r="G103" s="21"/>
      <c r="H103" s="10"/>
      <c r="I103" s="10"/>
      <c r="J103" s="10"/>
      <c r="K103" s="10"/>
      <c r="L103" s="10"/>
      <c r="M103" s="10"/>
      <c r="N103" s="10"/>
    </row>
    <row r="104" ht="15.75" customHeight="1">
      <c r="A104" s="8" t="s">
        <v>1582</v>
      </c>
      <c r="B104" s="8" t="s">
        <v>218</v>
      </c>
      <c r="C104" s="8" t="s">
        <v>874</v>
      </c>
      <c r="D104" s="8" t="s">
        <v>1583</v>
      </c>
      <c r="E104" s="8" t="s">
        <v>1148</v>
      </c>
      <c r="F104" s="20">
        <v>17.69</v>
      </c>
      <c r="G104" s="21"/>
      <c r="H104" s="10"/>
      <c r="I104" s="10"/>
      <c r="J104" s="10"/>
      <c r="K104" s="10"/>
      <c r="L104" s="10"/>
      <c r="M104" s="10"/>
      <c r="N104" s="10"/>
    </row>
    <row r="105" ht="15.75" customHeight="1">
      <c r="A105" s="8" t="s">
        <v>1584</v>
      </c>
      <c r="B105" s="8" t="s">
        <v>218</v>
      </c>
      <c r="C105" s="8" t="s">
        <v>763</v>
      </c>
      <c r="D105" s="8" t="s">
        <v>1324</v>
      </c>
      <c r="E105" s="8" t="s">
        <v>823</v>
      </c>
      <c r="F105" s="20">
        <v>17.52</v>
      </c>
      <c r="G105" s="21"/>
      <c r="H105" s="10"/>
      <c r="I105" s="10"/>
      <c r="J105" s="10"/>
      <c r="K105" s="10"/>
      <c r="L105" s="10"/>
      <c r="M105" s="10"/>
      <c r="N105" s="10"/>
    </row>
    <row r="106" ht="15.75" customHeight="1">
      <c r="A106" s="8" t="s">
        <v>1587</v>
      </c>
      <c r="B106" s="8" t="s">
        <v>225</v>
      </c>
      <c r="C106" s="8" t="s">
        <v>951</v>
      </c>
      <c r="D106" s="8" t="s">
        <v>1588</v>
      </c>
      <c r="E106" s="8" t="s">
        <v>1148</v>
      </c>
      <c r="F106" s="20">
        <v>66.67</v>
      </c>
      <c r="G106" s="21"/>
      <c r="H106" s="10"/>
      <c r="I106" s="10"/>
      <c r="J106" s="10"/>
      <c r="K106" s="10"/>
      <c r="L106" s="10"/>
      <c r="M106" s="10"/>
      <c r="N106" s="10"/>
    </row>
    <row r="107" ht="15.75" customHeight="1">
      <c r="A107" s="8" t="s">
        <v>1590</v>
      </c>
      <c r="B107" s="8" t="s">
        <v>225</v>
      </c>
      <c r="C107" s="8" t="s">
        <v>282</v>
      </c>
      <c r="D107" s="8" t="s">
        <v>1592</v>
      </c>
      <c r="E107" s="8" t="s">
        <v>1470</v>
      </c>
      <c r="F107" s="20">
        <v>59.16</v>
      </c>
      <c r="G107" s="21"/>
      <c r="H107" s="10"/>
      <c r="I107" s="10"/>
      <c r="J107" s="10"/>
      <c r="K107" s="10"/>
      <c r="L107" s="10"/>
      <c r="M107" s="10"/>
      <c r="N107" s="10"/>
    </row>
    <row r="108" ht="15.75" customHeight="1">
      <c r="A108" s="8" t="s">
        <v>1596</v>
      </c>
      <c r="B108" s="8" t="s">
        <v>225</v>
      </c>
      <c r="C108" s="8" t="s">
        <v>718</v>
      </c>
      <c r="D108" s="8" t="s">
        <v>1597</v>
      </c>
      <c r="E108" s="8" t="s">
        <v>1148</v>
      </c>
      <c r="F108" s="20">
        <v>50.61</v>
      </c>
      <c r="G108" s="21"/>
      <c r="H108" s="10"/>
      <c r="I108" s="10"/>
      <c r="J108" s="10"/>
      <c r="K108" s="10"/>
      <c r="L108" s="10"/>
      <c r="M108" s="10"/>
      <c r="N108" s="10"/>
    </row>
    <row r="109" ht="15.75" customHeight="1">
      <c r="A109" s="8" t="s">
        <v>1599</v>
      </c>
      <c r="B109" s="8" t="s">
        <v>225</v>
      </c>
      <c r="C109" s="8" t="s">
        <v>515</v>
      </c>
      <c r="D109" s="8" t="s">
        <v>1602</v>
      </c>
      <c r="E109" s="8" t="s">
        <v>1148</v>
      </c>
      <c r="F109" s="20">
        <v>49.89</v>
      </c>
      <c r="G109" s="21"/>
      <c r="H109" s="10"/>
      <c r="I109" s="10"/>
      <c r="J109" s="10"/>
      <c r="K109" s="10"/>
      <c r="L109" s="10"/>
      <c r="M109" s="10"/>
      <c r="N109" s="10"/>
    </row>
    <row r="110" ht="15.75" customHeight="1">
      <c r="A110" s="8" t="s">
        <v>1603</v>
      </c>
      <c r="B110" s="8" t="s">
        <v>225</v>
      </c>
      <c r="C110" s="8" t="s">
        <v>717</v>
      </c>
      <c r="D110" s="8" t="s">
        <v>1605</v>
      </c>
      <c r="E110" s="8" t="s">
        <v>1148</v>
      </c>
      <c r="F110" s="20">
        <v>43.86</v>
      </c>
      <c r="G110" s="21"/>
      <c r="H110" s="10"/>
      <c r="I110" s="10"/>
      <c r="J110" s="10"/>
      <c r="K110" s="10"/>
      <c r="L110" s="10"/>
      <c r="M110" s="10"/>
      <c r="N110" s="10"/>
    </row>
    <row r="111" ht="15.75" customHeight="1">
      <c r="A111" s="8" t="s">
        <v>1609</v>
      </c>
      <c r="B111" s="8" t="s">
        <v>225</v>
      </c>
      <c r="C111" s="8" t="s">
        <v>379</v>
      </c>
      <c r="D111" s="8" t="s">
        <v>1611</v>
      </c>
      <c r="E111" s="8" t="s">
        <v>823</v>
      </c>
      <c r="F111" s="20">
        <v>39.03</v>
      </c>
      <c r="G111" s="21"/>
      <c r="H111" s="10"/>
      <c r="I111" s="10"/>
      <c r="J111" s="10"/>
      <c r="K111" s="10"/>
      <c r="L111" s="10"/>
      <c r="M111" s="10"/>
      <c r="N111" s="10"/>
    </row>
    <row r="112" ht="15.75" customHeight="1">
      <c r="A112" s="8" t="s">
        <v>1614</v>
      </c>
      <c r="B112" s="8" t="s">
        <v>225</v>
      </c>
      <c r="C112" s="8" t="s">
        <v>580</v>
      </c>
      <c r="D112" s="8" t="s">
        <v>1615</v>
      </c>
      <c r="E112" s="8" t="s">
        <v>823</v>
      </c>
      <c r="F112" s="20">
        <v>40.11</v>
      </c>
      <c r="G112" s="21"/>
      <c r="H112" s="10"/>
      <c r="I112" s="10"/>
      <c r="J112" s="10"/>
      <c r="K112" s="10"/>
      <c r="L112" s="10"/>
      <c r="M112" s="10"/>
      <c r="N112" s="10"/>
    </row>
    <row r="113" ht="15.75" customHeight="1">
      <c r="A113" s="8" t="s">
        <v>1617</v>
      </c>
      <c r="B113" s="8" t="s">
        <v>225</v>
      </c>
      <c r="C113" s="8" t="s">
        <v>510</v>
      </c>
      <c r="D113" s="8" t="s">
        <v>1618</v>
      </c>
      <c r="E113" s="8" t="s">
        <v>1148</v>
      </c>
      <c r="F113" s="20">
        <v>37.45</v>
      </c>
      <c r="G113" s="21"/>
      <c r="H113" s="10"/>
      <c r="I113" s="10"/>
      <c r="J113" s="10"/>
      <c r="K113" s="10"/>
      <c r="L113" s="10"/>
      <c r="M113" s="10"/>
      <c r="N113" s="10"/>
    </row>
    <row r="114" ht="15.75" customHeight="1">
      <c r="A114" s="8" t="s">
        <v>1622</v>
      </c>
      <c r="B114" s="8" t="s">
        <v>233</v>
      </c>
      <c r="C114" s="8" t="s">
        <v>687</v>
      </c>
      <c r="D114" s="8" t="s">
        <v>1624</v>
      </c>
      <c r="E114" s="8" t="s">
        <v>823</v>
      </c>
      <c r="F114" s="20">
        <v>324.35</v>
      </c>
      <c r="G114" s="21"/>
      <c r="H114" s="10"/>
      <c r="I114" s="10"/>
      <c r="J114" s="10"/>
      <c r="K114" s="10"/>
      <c r="L114" s="10"/>
      <c r="M114" s="10"/>
      <c r="N114" s="10"/>
    </row>
    <row r="115" ht="15.75" customHeight="1">
      <c r="A115" s="8" t="s">
        <v>1626</v>
      </c>
      <c r="B115" s="8" t="s">
        <v>233</v>
      </c>
      <c r="C115" s="8" t="s">
        <v>950</v>
      </c>
      <c r="D115" s="8" t="s">
        <v>1628</v>
      </c>
      <c r="E115" s="8" t="s">
        <v>823</v>
      </c>
      <c r="F115" s="20">
        <v>160.97</v>
      </c>
      <c r="G115" s="21"/>
      <c r="H115" s="10"/>
      <c r="I115" s="10"/>
      <c r="J115" s="10"/>
      <c r="K115" s="10"/>
      <c r="L115" s="10"/>
      <c r="M115" s="10"/>
      <c r="N115" s="10"/>
    </row>
    <row r="116" ht="15.75" customHeight="1">
      <c r="A116" s="8" t="s">
        <v>1632</v>
      </c>
      <c r="B116" s="8" t="s">
        <v>233</v>
      </c>
      <c r="C116" s="8" t="s">
        <v>525</v>
      </c>
      <c r="D116" s="8" t="s">
        <v>1286</v>
      </c>
      <c r="E116" s="8" t="s">
        <v>1148</v>
      </c>
      <c r="F116" s="20">
        <v>83.66</v>
      </c>
      <c r="G116" s="21"/>
      <c r="H116" s="10"/>
      <c r="I116" s="10"/>
      <c r="J116" s="10"/>
      <c r="K116" s="10"/>
      <c r="L116" s="10"/>
      <c r="M116" s="10"/>
      <c r="N116" s="10"/>
    </row>
    <row r="117" ht="15.75" customHeight="1">
      <c r="A117" s="8" t="s">
        <v>1635</v>
      </c>
      <c r="B117" s="8" t="s">
        <v>233</v>
      </c>
      <c r="C117" s="8" t="s">
        <v>394</v>
      </c>
      <c r="D117" s="8" t="s">
        <v>1289</v>
      </c>
      <c r="E117" s="8" t="s">
        <v>1148</v>
      </c>
      <c r="F117" s="20">
        <v>53.05</v>
      </c>
      <c r="G117" s="21"/>
      <c r="H117" s="10"/>
      <c r="I117" s="10"/>
      <c r="J117" s="10"/>
      <c r="K117" s="10"/>
      <c r="L117" s="10"/>
      <c r="M117" s="10"/>
      <c r="N117" s="10"/>
    </row>
    <row r="118" ht="15.75" customHeight="1">
      <c r="A118" s="8" t="s">
        <v>1637</v>
      </c>
      <c r="B118" s="8" t="s">
        <v>233</v>
      </c>
      <c r="C118" s="8" t="s">
        <v>375</v>
      </c>
      <c r="D118" s="8" t="s">
        <v>1638</v>
      </c>
      <c r="E118" s="8" t="s">
        <v>823</v>
      </c>
      <c r="F118" s="20">
        <v>54.28</v>
      </c>
      <c r="G118" s="21"/>
      <c r="H118" s="10"/>
      <c r="I118" s="10"/>
      <c r="J118" s="10"/>
      <c r="K118" s="10"/>
      <c r="L118" s="10"/>
      <c r="M118" s="10"/>
      <c r="N118" s="10"/>
    </row>
    <row r="119" ht="15.75" customHeight="1">
      <c r="A119" s="8" t="s">
        <v>1641</v>
      </c>
      <c r="B119" s="8" t="s">
        <v>233</v>
      </c>
      <c r="C119" s="8" t="s">
        <v>343</v>
      </c>
      <c r="D119" s="8" t="s">
        <v>1642</v>
      </c>
      <c r="E119" s="8" t="s">
        <v>823</v>
      </c>
      <c r="F119" s="20">
        <v>45.0</v>
      </c>
      <c r="G119" s="21"/>
      <c r="H119" s="10"/>
      <c r="I119" s="10"/>
      <c r="J119" s="10"/>
      <c r="K119" s="10"/>
      <c r="L119" s="10"/>
      <c r="M119" s="10"/>
      <c r="N119" s="10"/>
    </row>
    <row r="120" ht="15.75" customHeight="1">
      <c r="A120" s="8" t="s">
        <v>1646</v>
      </c>
      <c r="B120" s="8" t="s">
        <v>233</v>
      </c>
      <c r="C120" s="8" t="s">
        <v>766</v>
      </c>
      <c r="D120" s="8" t="s">
        <v>1648</v>
      </c>
      <c r="E120" s="8" t="s">
        <v>823</v>
      </c>
      <c r="F120" s="20">
        <v>34.77</v>
      </c>
      <c r="G120" s="21"/>
      <c r="H120" s="10"/>
      <c r="I120" s="10"/>
      <c r="J120" s="10"/>
      <c r="K120" s="10"/>
      <c r="L120" s="10"/>
      <c r="M120" s="10"/>
      <c r="N120" s="10"/>
    </row>
    <row r="121" ht="15.75" customHeight="1">
      <c r="A121" s="8" t="s">
        <v>1651</v>
      </c>
      <c r="B121" s="8" t="s">
        <v>233</v>
      </c>
      <c r="C121" s="8" t="s">
        <v>1055</v>
      </c>
      <c r="D121" s="8" t="s">
        <v>1652</v>
      </c>
      <c r="E121" s="8" t="s">
        <v>823</v>
      </c>
      <c r="F121" s="20">
        <v>30.21</v>
      </c>
      <c r="G121" s="21"/>
      <c r="H121" s="10"/>
      <c r="I121" s="10"/>
      <c r="J121" s="10"/>
      <c r="K121" s="10"/>
      <c r="L121" s="10"/>
      <c r="M121" s="10"/>
      <c r="N121" s="10"/>
    </row>
    <row r="122" ht="15.75" customHeight="1">
      <c r="A122" s="8" t="s">
        <v>1654</v>
      </c>
      <c r="B122" s="8" t="s">
        <v>240</v>
      </c>
      <c r="C122" s="8" t="s">
        <v>637</v>
      </c>
      <c r="D122" s="8" t="s">
        <v>1308</v>
      </c>
      <c r="E122" s="8" t="s">
        <v>1148</v>
      </c>
      <c r="F122" s="20">
        <v>92.67</v>
      </c>
      <c r="G122" s="21"/>
      <c r="H122" s="10"/>
      <c r="I122" s="10"/>
      <c r="J122" s="10"/>
      <c r="K122" s="10"/>
      <c r="L122" s="10"/>
      <c r="M122" s="10"/>
      <c r="N122" s="10"/>
    </row>
    <row r="123" ht="15.75" customHeight="1">
      <c r="A123" s="8" t="s">
        <v>1658</v>
      </c>
      <c r="B123" s="8" t="s">
        <v>240</v>
      </c>
      <c r="C123" s="8" t="s">
        <v>898</v>
      </c>
      <c r="D123" s="8" t="s">
        <v>1659</v>
      </c>
      <c r="E123" s="8" t="s">
        <v>823</v>
      </c>
      <c r="F123" s="20">
        <v>68.23</v>
      </c>
      <c r="G123" s="21"/>
      <c r="H123" s="10"/>
      <c r="I123" s="10"/>
      <c r="J123" s="10"/>
      <c r="K123" s="10"/>
      <c r="L123" s="10"/>
      <c r="M123" s="10"/>
      <c r="N123" s="10"/>
    </row>
    <row r="124" ht="15.75" customHeight="1">
      <c r="A124" s="8" t="s">
        <v>1660</v>
      </c>
      <c r="B124" s="8" t="s">
        <v>240</v>
      </c>
      <c r="C124" s="8" t="s">
        <v>988</v>
      </c>
      <c r="D124" s="8" t="s">
        <v>1661</v>
      </c>
      <c r="E124" s="8" t="s">
        <v>823</v>
      </c>
      <c r="F124" s="20">
        <v>65.67</v>
      </c>
      <c r="G124" s="21"/>
      <c r="H124" s="10"/>
      <c r="I124" s="10"/>
      <c r="J124" s="10"/>
      <c r="K124" s="10"/>
      <c r="L124" s="10"/>
      <c r="M124" s="10"/>
      <c r="N124" s="10"/>
    </row>
    <row r="125" ht="15.75" customHeight="1">
      <c r="A125" s="8" t="s">
        <v>1662</v>
      </c>
      <c r="B125" s="8" t="s">
        <v>240</v>
      </c>
      <c r="C125" s="8" t="s">
        <v>643</v>
      </c>
      <c r="D125" s="8" t="s">
        <v>1474</v>
      </c>
      <c r="E125" s="8" t="s">
        <v>101</v>
      </c>
      <c r="F125" s="20">
        <v>58.0</v>
      </c>
      <c r="G125" s="21"/>
      <c r="H125" s="10"/>
      <c r="I125" s="10"/>
      <c r="J125" s="10"/>
      <c r="K125" s="10"/>
      <c r="L125" s="10"/>
      <c r="M125" s="10"/>
      <c r="N125" s="10"/>
    </row>
    <row r="126" ht="15.75" customHeight="1">
      <c r="A126" s="8" t="s">
        <v>1665</v>
      </c>
      <c r="B126" s="8" t="s">
        <v>240</v>
      </c>
      <c r="C126" s="8" t="s">
        <v>1023</v>
      </c>
      <c r="D126" s="8" t="s">
        <v>1344</v>
      </c>
      <c r="E126" s="8" t="s">
        <v>1148</v>
      </c>
      <c r="F126" s="20">
        <v>49.99</v>
      </c>
      <c r="G126" s="21"/>
      <c r="H126" s="10"/>
      <c r="I126" s="10"/>
      <c r="J126" s="10"/>
      <c r="K126" s="10"/>
      <c r="L126" s="10"/>
      <c r="M126" s="10"/>
      <c r="N126" s="10"/>
    </row>
    <row r="127" ht="15.75" customHeight="1">
      <c r="A127" s="8" t="s">
        <v>1666</v>
      </c>
      <c r="B127" s="8" t="s">
        <v>240</v>
      </c>
      <c r="C127" s="8" t="s">
        <v>730</v>
      </c>
      <c r="D127" s="8" t="s">
        <v>1667</v>
      </c>
      <c r="E127" s="8" t="s">
        <v>823</v>
      </c>
      <c r="F127" s="20">
        <v>49.01</v>
      </c>
      <c r="G127" s="21"/>
      <c r="H127" s="10"/>
      <c r="I127" s="10"/>
      <c r="J127" s="10"/>
      <c r="K127" s="10"/>
      <c r="L127" s="10"/>
      <c r="M127" s="10"/>
      <c r="N127" s="10"/>
    </row>
    <row r="128" ht="15.75" customHeight="1">
      <c r="A128" s="8" t="s">
        <v>1670</v>
      </c>
      <c r="B128" s="8" t="s">
        <v>240</v>
      </c>
      <c r="C128" s="8" t="s">
        <v>677</v>
      </c>
      <c r="D128" s="8" t="s">
        <v>1672</v>
      </c>
      <c r="E128" s="8" t="s">
        <v>823</v>
      </c>
      <c r="F128" s="20">
        <v>53.46</v>
      </c>
      <c r="G128" s="21"/>
      <c r="H128" s="10"/>
      <c r="I128" s="10"/>
      <c r="J128" s="10"/>
      <c r="K128" s="10"/>
      <c r="L128" s="10"/>
      <c r="M128" s="10"/>
      <c r="N128" s="10"/>
    </row>
    <row r="129" ht="15.75" customHeight="1">
      <c r="A129" s="8" t="s">
        <v>1674</v>
      </c>
      <c r="B129" s="8" t="s">
        <v>240</v>
      </c>
      <c r="C129" s="8" t="s">
        <v>1174</v>
      </c>
      <c r="D129" s="8" t="s">
        <v>1677</v>
      </c>
      <c r="E129" s="8" t="s">
        <v>823</v>
      </c>
      <c r="F129" s="20">
        <v>48.72</v>
      </c>
      <c r="G129" s="21"/>
      <c r="H129" s="10"/>
      <c r="I129" s="10"/>
      <c r="J129" s="10"/>
      <c r="K129" s="10"/>
      <c r="L129" s="10"/>
      <c r="M129" s="10"/>
      <c r="N129" s="10"/>
    </row>
    <row r="130" ht="15.75" customHeight="1">
      <c r="A130" s="8" t="s">
        <v>1678</v>
      </c>
      <c r="B130" s="8" t="s">
        <v>246</v>
      </c>
      <c r="C130" s="8" t="s">
        <v>867</v>
      </c>
      <c r="D130" s="8" t="s">
        <v>1450</v>
      </c>
      <c r="E130" s="8" t="s">
        <v>823</v>
      </c>
      <c r="F130" s="20">
        <v>1004.51</v>
      </c>
      <c r="G130" s="21"/>
      <c r="H130" s="10"/>
      <c r="I130" s="10"/>
      <c r="J130" s="10"/>
      <c r="K130" s="10"/>
      <c r="L130" s="10"/>
      <c r="M130" s="10"/>
      <c r="N130" s="10"/>
    </row>
    <row r="131" ht="15.75" customHeight="1">
      <c r="A131" s="8" t="s">
        <v>1679</v>
      </c>
      <c r="B131" s="8" t="s">
        <v>246</v>
      </c>
      <c r="C131" s="8" t="s">
        <v>396</v>
      </c>
      <c r="D131" s="8" t="s">
        <v>1465</v>
      </c>
      <c r="E131" s="8" t="s">
        <v>823</v>
      </c>
      <c r="F131" s="20">
        <v>289.72</v>
      </c>
      <c r="G131" s="21"/>
      <c r="H131" s="10"/>
      <c r="I131" s="10"/>
      <c r="J131" s="10"/>
      <c r="K131" s="10"/>
      <c r="L131" s="10"/>
      <c r="M131" s="10"/>
      <c r="N131" s="10"/>
    </row>
    <row r="132" ht="15.75" customHeight="1">
      <c r="A132" s="8" t="s">
        <v>1683</v>
      </c>
      <c r="B132" s="8" t="s">
        <v>246</v>
      </c>
      <c r="C132" s="8" t="s">
        <v>635</v>
      </c>
      <c r="D132" s="8" t="s">
        <v>1457</v>
      </c>
      <c r="E132" s="8" t="s">
        <v>823</v>
      </c>
      <c r="F132" s="20">
        <v>164.29</v>
      </c>
      <c r="G132" s="21"/>
      <c r="H132" s="10"/>
      <c r="I132" s="10"/>
      <c r="J132" s="10"/>
      <c r="K132" s="10"/>
      <c r="L132" s="10"/>
      <c r="M132" s="10"/>
      <c r="N132" s="10"/>
    </row>
    <row r="133" ht="15.75" customHeight="1">
      <c r="A133" s="8" t="s">
        <v>1684</v>
      </c>
      <c r="B133" s="8" t="s">
        <v>246</v>
      </c>
      <c r="C133" s="8" t="s">
        <v>963</v>
      </c>
      <c r="D133" s="8" t="s">
        <v>1686</v>
      </c>
      <c r="E133" s="8" t="s">
        <v>1687</v>
      </c>
      <c r="F133" s="20">
        <v>80.84</v>
      </c>
      <c r="G133" s="21"/>
      <c r="H133" s="10"/>
      <c r="I133" s="10"/>
      <c r="J133" s="10"/>
      <c r="K133" s="10"/>
      <c r="L133" s="10"/>
      <c r="M133" s="10"/>
      <c r="N133" s="10"/>
    </row>
    <row r="134" ht="15.75" customHeight="1">
      <c r="A134" s="8" t="s">
        <v>1688</v>
      </c>
      <c r="B134" s="8" t="s">
        <v>246</v>
      </c>
      <c r="C134" s="8" t="s">
        <v>1072</v>
      </c>
      <c r="D134" s="8" t="s">
        <v>1690</v>
      </c>
      <c r="E134" s="8" t="s">
        <v>1687</v>
      </c>
      <c r="F134" s="20">
        <v>58.5</v>
      </c>
      <c r="G134" s="21"/>
      <c r="H134" s="10"/>
      <c r="I134" s="10"/>
      <c r="J134" s="10"/>
      <c r="K134" s="10"/>
      <c r="L134" s="10"/>
      <c r="M134" s="10"/>
      <c r="N134" s="10"/>
    </row>
    <row r="135" ht="15.75" customHeight="1">
      <c r="A135" s="8" t="s">
        <v>1692</v>
      </c>
      <c r="B135" s="8" t="s">
        <v>246</v>
      </c>
      <c r="C135" s="8" t="s">
        <v>398</v>
      </c>
      <c r="D135" s="8" t="s">
        <v>1245</v>
      </c>
      <c r="E135" s="8" t="s">
        <v>1687</v>
      </c>
      <c r="F135" s="20">
        <v>43.51</v>
      </c>
      <c r="G135" s="21"/>
      <c r="H135" s="10"/>
      <c r="I135" s="10"/>
      <c r="J135" s="10"/>
      <c r="K135" s="10"/>
      <c r="L135" s="10"/>
      <c r="M135" s="10"/>
      <c r="N135" s="10"/>
    </row>
    <row r="136" ht="15.75" customHeight="1">
      <c r="A136" s="8" t="s">
        <v>1696</v>
      </c>
      <c r="B136" s="8" t="s">
        <v>246</v>
      </c>
      <c r="C136" s="8" t="s">
        <v>877</v>
      </c>
      <c r="D136" s="8" t="s">
        <v>1697</v>
      </c>
      <c r="E136" s="8" t="s">
        <v>1687</v>
      </c>
      <c r="F136" s="20">
        <v>49.42</v>
      </c>
      <c r="G136" s="21"/>
      <c r="H136" s="10"/>
      <c r="I136" s="10"/>
      <c r="J136" s="10"/>
      <c r="K136" s="10"/>
      <c r="L136" s="10"/>
      <c r="M136" s="10"/>
      <c r="N136" s="10"/>
    </row>
    <row r="137" ht="15.75" customHeight="1">
      <c r="A137" s="8" t="s">
        <v>1699</v>
      </c>
      <c r="B137" s="8" t="s">
        <v>246</v>
      </c>
      <c r="C137" s="8" t="s">
        <v>472</v>
      </c>
      <c r="D137" s="8" t="s">
        <v>1700</v>
      </c>
      <c r="E137" s="8" t="s">
        <v>1687</v>
      </c>
      <c r="F137" s="20">
        <v>43.0</v>
      </c>
      <c r="G137" s="21"/>
      <c r="H137" s="10"/>
      <c r="I137" s="10"/>
      <c r="J137" s="10"/>
      <c r="K137" s="10"/>
      <c r="L137" s="10"/>
      <c r="M137" s="10"/>
      <c r="N137" s="10"/>
    </row>
    <row r="138" ht="15.75" customHeight="1">
      <c r="A138" s="8" t="s">
        <v>1702</v>
      </c>
      <c r="B138" s="8" t="s">
        <v>252</v>
      </c>
      <c r="C138" s="8" t="s">
        <v>691</v>
      </c>
      <c r="D138" s="8" t="s">
        <v>1703</v>
      </c>
      <c r="E138" s="8" t="s">
        <v>1148</v>
      </c>
      <c r="F138" s="20">
        <v>108.93</v>
      </c>
      <c r="G138" s="21"/>
      <c r="H138" s="10"/>
      <c r="I138" s="10"/>
      <c r="J138" s="10"/>
      <c r="K138" s="10"/>
      <c r="L138" s="10"/>
      <c r="M138" s="10"/>
      <c r="N138" s="10"/>
    </row>
    <row r="139" ht="15.75" customHeight="1">
      <c r="A139" s="8" t="s">
        <v>1707</v>
      </c>
      <c r="B139" s="8" t="s">
        <v>252</v>
      </c>
      <c r="C139" s="8" t="s">
        <v>167</v>
      </c>
      <c r="D139" s="8" t="s">
        <v>1708</v>
      </c>
      <c r="E139" s="8" t="s">
        <v>823</v>
      </c>
      <c r="F139" s="20">
        <v>54.0</v>
      </c>
      <c r="G139" s="21"/>
      <c r="H139" s="10"/>
      <c r="I139" s="10"/>
      <c r="J139" s="10"/>
      <c r="K139" s="10"/>
      <c r="L139" s="10"/>
      <c r="M139" s="10"/>
      <c r="N139" s="10"/>
    </row>
    <row r="140" ht="15.75" customHeight="1">
      <c r="A140" s="8" t="s">
        <v>1710</v>
      </c>
      <c r="B140" s="8" t="s">
        <v>252</v>
      </c>
      <c r="C140" s="8" t="s">
        <v>895</v>
      </c>
      <c r="D140" s="8" t="s">
        <v>1667</v>
      </c>
      <c r="E140" s="8" t="s">
        <v>1148</v>
      </c>
      <c r="F140" s="20">
        <v>48.5</v>
      </c>
      <c r="G140" s="21"/>
      <c r="H140" s="10"/>
      <c r="I140" s="10"/>
      <c r="J140" s="10"/>
      <c r="K140" s="10"/>
      <c r="L140" s="10"/>
      <c r="M140" s="10"/>
      <c r="N140" s="10"/>
    </row>
    <row r="141" ht="15.75" customHeight="1">
      <c r="A141" s="8" t="s">
        <v>1713</v>
      </c>
      <c r="B141" s="8" t="s">
        <v>252</v>
      </c>
      <c r="C141" s="8" t="s">
        <v>971</v>
      </c>
      <c r="D141" s="8" t="s">
        <v>1474</v>
      </c>
      <c r="E141" s="8" t="s">
        <v>1148</v>
      </c>
      <c r="F141" s="20">
        <v>40.63</v>
      </c>
      <c r="G141" s="21"/>
      <c r="H141" s="10"/>
      <c r="I141" s="10"/>
      <c r="J141" s="10"/>
      <c r="K141" s="10"/>
      <c r="L141" s="10"/>
      <c r="M141" s="10"/>
      <c r="N141" s="10"/>
    </row>
    <row r="142" ht="15.75" customHeight="1">
      <c r="A142" s="8" t="s">
        <v>1716</v>
      </c>
      <c r="B142" s="8" t="s">
        <v>252</v>
      </c>
      <c r="C142" s="8" t="s">
        <v>882</v>
      </c>
      <c r="D142" s="8" t="s">
        <v>1717</v>
      </c>
      <c r="E142" s="8" t="s">
        <v>1148</v>
      </c>
      <c r="F142" s="20">
        <v>37.93</v>
      </c>
      <c r="G142" s="21"/>
      <c r="H142" s="10"/>
      <c r="I142" s="10"/>
      <c r="J142" s="10"/>
      <c r="K142" s="10"/>
      <c r="L142" s="10"/>
      <c r="M142" s="10"/>
      <c r="N142" s="10"/>
    </row>
    <row r="143" ht="15.75" customHeight="1">
      <c r="A143" s="8" t="s">
        <v>1718</v>
      </c>
      <c r="B143" s="8" t="s">
        <v>252</v>
      </c>
      <c r="C143" s="8" t="s">
        <v>1083</v>
      </c>
      <c r="D143" s="8" t="s">
        <v>1661</v>
      </c>
      <c r="E143" s="8" t="s">
        <v>1148</v>
      </c>
      <c r="F143" s="20">
        <v>35.29</v>
      </c>
      <c r="G143" s="21"/>
      <c r="H143" s="10"/>
      <c r="I143" s="10"/>
      <c r="J143" s="10"/>
      <c r="K143" s="10"/>
      <c r="L143" s="10"/>
      <c r="M143" s="10"/>
      <c r="N143" s="10"/>
    </row>
    <row r="144" ht="15.75" customHeight="1">
      <c r="A144" s="8" t="s">
        <v>1721</v>
      </c>
      <c r="B144" s="8" t="s">
        <v>252</v>
      </c>
      <c r="C144" s="8" t="s">
        <v>1002</v>
      </c>
      <c r="D144" s="8" t="s">
        <v>1722</v>
      </c>
      <c r="E144" s="8" t="s">
        <v>823</v>
      </c>
      <c r="F144" s="20">
        <v>40.69</v>
      </c>
      <c r="G144" s="21"/>
      <c r="H144" s="10"/>
      <c r="I144" s="10"/>
      <c r="J144" s="10"/>
      <c r="K144" s="10"/>
      <c r="L144" s="10"/>
      <c r="M144" s="10"/>
      <c r="N144" s="10"/>
    </row>
    <row r="145" ht="15.75" customHeight="1">
      <c r="A145" s="8" t="s">
        <v>1723</v>
      </c>
      <c r="B145" s="8" t="s">
        <v>252</v>
      </c>
      <c r="C145" s="8" t="s">
        <v>632</v>
      </c>
      <c r="D145" s="8" t="s">
        <v>1724</v>
      </c>
      <c r="E145" s="8" t="s">
        <v>823</v>
      </c>
      <c r="F145" s="20">
        <v>34.96</v>
      </c>
      <c r="G145" s="21"/>
      <c r="H145" s="10"/>
      <c r="I145" s="10"/>
      <c r="J145" s="10"/>
      <c r="K145" s="10"/>
      <c r="L145" s="10"/>
      <c r="M145" s="10"/>
      <c r="N145" s="10"/>
    </row>
    <row r="146" ht="15.75" customHeight="1">
      <c r="A146" s="8" t="s">
        <v>1726</v>
      </c>
      <c r="B146" s="8" t="s">
        <v>258</v>
      </c>
      <c r="C146" s="8" t="s">
        <v>396</v>
      </c>
      <c r="D146" s="8" t="s">
        <v>1703</v>
      </c>
      <c r="E146" s="8" t="s">
        <v>823</v>
      </c>
      <c r="F146" s="20">
        <v>358.0</v>
      </c>
      <c r="G146" s="21"/>
      <c r="H146" s="10"/>
      <c r="I146" s="10"/>
      <c r="J146" s="10"/>
      <c r="K146" s="10"/>
      <c r="L146" s="10"/>
      <c r="M146" s="10"/>
      <c r="N146" s="10"/>
    </row>
    <row r="147" ht="15.75" customHeight="1">
      <c r="A147" s="8" t="s">
        <v>1731</v>
      </c>
      <c r="B147" s="8" t="s">
        <v>258</v>
      </c>
      <c r="C147" s="8" t="s">
        <v>319</v>
      </c>
      <c r="D147" s="8" t="s">
        <v>1732</v>
      </c>
      <c r="E147" s="8" t="s">
        <v>823</v>
      </c>
      <c r="F147" s="20">
        <v>130.32</v>
      </c>
      <c r="G147" s="21"/>
      <c r="H147" s="10"/>
      <c r="I147" s="10"/>
      <c r="J147" s="10"/>
      <c r="K147" s="10"/>
      <c r="L147" s="10"/>
      <c r="M147" s="10"/>
      <c r="N147" s="10"/>
    </row>
    <row r="148" ht="15.75" customHeight="1">
      <c r="A148" s="8" t="s">
        <v>1733</v>
      </c>
      <c r="B148" s="8" t="s">
        <v>258</v>
      </c>
      <c r="C148" s="8" t="s">
        <v>1162</v>
      </c>
      <c r="D148" s="8" t="s">
        <v>1736</v>
      </c>
      <c r="E148" s="8" t="s">
        <v>823</v>
      </c>
      <c r="F148" s="20">
        <v>113.58</v>
      </c>
      <c r="G148" s="21"/>
      <c r="H148" s="10"/>
      <c r="I148" s="10"/>
      <c r="J148" s="10"/>
      <c r="K148" s="10"/>
      <c r="L148" s="10"/>
      <c r="M148" s="10"/>
      <c r="N148" s="10"/>
    </row>
    <row r="149" ht="15.75" customHeight="1">
      <c r="A149" s="8" t="s">
        <v>1738</v>
      </c>
      <c r="B149" s="8" t="s">
        <v>258</v>
      </c>
      <c r="C149" s="8" t="s">
        <v>1192</v>
      </c>
      <c r="D149" s="8" t="s">
        <v>1690</v>
      </c>
      <c r="E149" s="8" t="s">
        <v>823</v>
      </c>
      <c r="F149" s="20">
        <v>91.88</v>
      </c>
      <c r="G149" s="21"/>
      <c r="H149" s="10"/>
      <c r="I149" s="10"/>
      <c r="J149" s="10"/>
      <c r="K149" s="10"/>
      <c r="L149" s="10"/>
      <c r="M149" s="10"/>
      <c r="N149" s="10"/>
    </row>
    <row r="150" ht="15.75" customHeight="1">
      <c r="A150" s="8" t="s">
        <v>1741</v>
      </c>
      <c r="B150" s="8" t="s">
        <v>258</v>
      </c>
      <c r="C150" s="8" t="s">
        <v>398</v>
      </c>
      <c r="D150" s="8" t="s">
        <v>1578</v>
      </c>
      <c r="E150" s="8" t="s">
        <v>1148</v>
      </c>
      <c r="F150" s="20">
        <v>89.0</v>
      </c>
      <c r="G150" s="21"/>
      <c r="H150" s="10"/>
      <c r="I150" s="10"/>
      <c r="J150" s="10"/>
      <c r="K150" s="10"/>
      <c r="L150" s="10"/>
      <c r="M150" s="10"/>
      <c r="N150" s="10"/>
    </row>
    <row r="151" ht="15.75" customHeight="1">
      <c r="A151" s="8" t="s">
        <v>1744</v>
      </c>
      <c r="B151" s="8" t="s">
        <v>258</v>
      </c>
      <c r="C151" s="8" t="s">
        <v>963</v>
      </c>
      <c r="D151" s="8" t="s">
        <v>1334</v>
      </c>
      <c r="E151" s="8" t="s">
        <v>1148</v>
      </c>
      <c r="F151" s="20">
        <v>86.34</v>
      </c>
      <c r="G151" s="21"/>
      <c r="H151" s="10"/>
      <c r="I151" s="10"/>
      <c r="J151" s="10"/>
      <c r="K151" s="10"/>
      <c r="L151" s="10"/>
      <c r="M151" s="10"/>
      <c r="N151" s="10"/>
    </row>
    <row r="152" ht="15.75" customHeight="1">
      <c r="A152" s="8" t="s">
        <v>1747</v>
      </c>
      <c r="B152" s="8" t="s">
        <v>258</v>
      </c>
      <c r="C152" s="8" t="s">
        <v>1079</v>
      </c>
      <c r="D152" s="8" t="s">
        <v>1435</v>
      </c>
      <c r="E152" s="8" t="s">
        <v>1148</v>
      </c>
      <c r="F152" s="20">
        <v>85.55</v>
      </c>
      <c r="G152" s="21"/>
      <c r="H152" s="10"/>
      <c r="I152" s="10"/>
      <c r="J152" s="10"/>
      <c r="K152" s="10"/>
      <c r="L152" s="10"/>
      <c r="M152" s="10"/>
      <c r="N152" s="10"/>
    </row>
    <row r="153" ht="15.75" customHeight="1">
      <c r="A153" s="8" t="s">
        <v>1751</v>
      </c>
      <c r="B153" s="8" t="s">
        <v>258</v>
      </c>
      <c r="C153" s="8" t="s">
        <v>368</v>
      </c>
      <c r="D153" s="8" t="s">
        <v>1344</v>
      </c>
      <c r="E153" s="8" t="s">
        <v>1148</v>
      </c>
      <c r="F153" s="20">
        <v>74.99</v>
      </c>
      <c r="G153" s="21"/>
      <c r="H153" s="10"/>
      <c r="I153" s="10"/>
      <c r="J153" s="10"/>
      <c r="K153" s="10"/>
      <c r="L153" s="10"/>
      <c r="M153" s="10"/>
      <c r="N153" s="10"/>
    </row>
    <row r="154" ht="15.75" customHeight="1">
      <c r="A154" s="8" t="s">
        <v>1754</v>
      </c>
      <c r="B154" s="8" t="s">
        <v>264</v>
      </c>
      <c r="C154" s="8" t="s">
        <v>396</v>
      </c>
      <c r="D154" s="8" t="s">
        <v>1755</v>
      </c>
      <c r="E154" s="8" t="s">
        <v>823</v>
      </c>
      <c r="F154" s="20">
        <v>109.69</v>
      </c>
      <c r="G154" s="21"/>
      <c r="H154" s="10"/>
      <c r="I154" s="10"/>
      <c r="J154" s="10"/>
      <c r="K154" s="10"/>
      <c r="L154" s="10"/>
      <c r="M154" s="10"/>
      <c r="N154" s="10"/>
    </row>
    <row r="155" ht="15.75" customHeight="1">
      <c r="A155" s="8" t="s">
        <v>1759</v>
      </c>
      <c r="B155" s="8" t="s">
        <v>264</v>
      </c>
      <c r="C155" s="8" t="s">
        <v>918</v>
      </c>
      <c r="D155" s="8" t="s">
        <v>1703</v>
      </c>
      <c r="E155" s="8" t="s">
        <v>1148</v>
      </c>
      <c r="F155" s="20">
        <v>37.63</v>
      </c>
      <c r="G155" s="21"/>
      <c r="H155" s="10"/>
      <c r="I155" s="10"/>
      <c r="J155" s="10"/>
      <c r="K155" s="10"/>
      <c r="L155" s="10"/>
      <c r="M155" s="10"/>
      <c r="N155" s="10"/>
    </row>
    <row r="156" ht="15.75" customHeight="1">
      <c r="A156" s="8" t="s">
        <v>1760</v>
      </c>
      <c r="B156" s="8" t="s">
        <v>264</v>
      </c>
      <c r="C156" s="8" t="s">
        <v>420</v>
      </c>
      <c r="D156" s="8" t="s">
        <v>1690</v>
      </c>
      <c r="E156" s="8" t="s">
        <v>1148</v>
      </c>
      <c r="F156" s="20">
        <v>35.0</v>
      </c>
      <c r="G156" s="21"/>
      <c r="H156" s="10"/>
      <c r="I156" s="10"/>
      <c r="J156" s="10"/>
      <c r="K156" s="10"/>
      <c r="L156" s="10"/>
      <c r="M156" s="10"/>
      <c r="N156" s="10"/>
    </row>
    <row r="157" ht="15.75" customHeight="1">
      <c r="A157" s="8" t="s">
        <v>1764</v>
      </c>
      <c r="B157" s="8" t="s">
        <v>264</v>
      </c>
      <c r="C157" s="8" t="s">
        <v>396</v>
      </c>
      <c r="D157" s="8" t="s">
        <v>1765</v>
      </c>
      <c r="E157" s="8" t="s">
        <v>1470</v>
      </c>
      <c r="F157" s="20">
        <v>38.52</v>
      </c>
      <c r="G157" s="21"/>
      <c r="H157" s="10"/>
      <c r="I157" s="10"/>
      <c r="J157" s="10"/>
      <c r="K157" s="10"/>
      <c r="L157" s="10"/>
      <c r="M157" s="10"/>
      <c r="N157" s="10"/>
    </row>
    <row r="158" ht="15.75" customHeight="1">
      <c r="A158" s="8" t="s">
        <v>1768</v>
      </c>
      <c r="B158" s="8" t="s">
        <v>264</v>
      </c>
      <c r="C158" s="8" t="s">
        <v>661</v>
      </c>
      <c r="D158" s="8" t="s">
        <v>1736</v>
      </c>
      <c r="E158" s="8" t="s">
        <v>1148</v>
      </c>
      <c r="F158" s="20">
        <v>21.42</v>
      </c>
      <c r="G158" s="21"/>
      <c r="H158" s="10"/>
      <c r="I158" s="10"/>
      <c r="J158" s="10"/>
      <c r="K158" s="10"/>
      <c r="L158" s="10"/>
      <c r="M158" s="10"/>
      <c r="N158" s="10"/>
    </row>
    <row r="159" ht="15.75" customHeight="1">
      <c r="A159" s="8" t="s">
        <v>1771</v>
      </c>
      <c r="B159" s="8" t="s">
        <v>264</v>
      </c>
      <c r="C159" s="8" t="s">
        <v>396</v>
      </c>
      <c r="D159" s="8" t="s">
        <v>1773</v>
      </c>
      <c r="E159" s="8" t="s">
        <v>101</v>
      </c>
      <c r="F159" s="20">
        <v>20.78</v>
      </c>
      <c r="G159" s="21"/>
      <c r="H159" s="10"/>
      <c r="I159" s="10"/>
      <c r="J159" s="10"/>
      <c r="K159" s="10"/>
      <c r="L159" s="10"/>
      <c r="M159" s="10"/>
      <c r="N159" s="10"/>
    </row>
    <row r="160" ht="15.75" customHeight="1">
      <c r="A160" s="8" t="s">
        <v>1774</v>
      </c>
      <c r="B160" s="8" t="s">
        <v>264</v>
      </c>
      <c r="C160" s="8" t="s">
        <v>956</v>
      </c>
      <c r="D160" s="8" t="s">
        <v>1775</v>
      </c>
      <c r="E160" s="8" t="s">
        <v>823</v>
      </c>
      <c r="F160" s="20">
        <v>20.07</v>
      </c>
      <c r="G160" s="21"/>
      <c r="H160" s="10"/>
      <c r="I160" s="10"/>
      <c r="J160" s="10"/>
      <c r="K160" s="10"/>
      <c r="L160" s="10"/>
      <c r="M160" s="10"/>
      <c r="N160" s="10"/>
    </row>
    <row r="161" ht="15.75" customHeight="1">
      <c r="A161" s="8" t="s">
        <v>1781</v>
      </c>
      <c r="B161" s="8" t="s">
        <v>264</v>
      </c>
      <c r="C161" s="8" t="s">
        <v>1024</v>
      </c>
      <c r="D161" s="8" t="s">
        <v>1677</v>
      </c>
      <c r="E161" s="8" t="s">
        <v>1148</v>
      </c>
      <c r="F161" s="20">
        <v>15.5</v>
      </c>
      <c r="G161" s="21"/>
      <c r="H161" s="10"/>
      <c r="I161" s="10"/>
      <c r="J161" s="10"/>
      <c r="K161" s="10"/>
      <c r="L161" s="10"/>
      <c r="M161" s="10"/>
      <c r="N161" s="10"/>
    </row>
    <row r="162" ht="15.75" customHeight="1">
      <c r="A162" s="8" t="s">
        <v>1785</v>
      </c>
      <c r="B162" s="8" t="s">
        <v>270</v>
      </c>
      <c r="C162" s="8" t="s">
        <v>800</v>
      </c>
      <c r="D162" s="8" t="s">
        <v>1556</v>
      </c>
      <c r="E162" s="8" t="s">
        <v>1148</v>
      </c>
      <c r="F162" s="20">
        <v>382.16</v>
      </c>
      <c r="G162" s="21"/>
      <c r="H162" s="10"/>
      <c r="I162" s="10"/>
      <c r="J162" s="10"/>
      <c r="K162" s="10"/>
      <c r="L162" s="10"/>
      <c r="M162" s="10"/>
      <c r="N162" s="10"/>
    </row>
    <row r="163" ht="15.75" customHeight="1">
      <c r="A163" s="8" t="s">
        <v>1792</v>
      </c>
      <c r="B163" s="8" t="s">
        <v>270</v>
      </c>
      <c r="C163" s="8" t="s">
        <v>989</v>
      </c>
      <c r="D163" s="8" t="s">
        <v>1659</v>
      </c>
      <c r="E163" s="8" t="s">
        <v>1148</v>
      </c>
      <c r="F163" s="20">
        <v>97.5</v>
      </c>
      <c r="G163" s="21"/>
      <c r="H163" s="10"/>
      <c r="I163" s="10"/>
      <c r="J163" s="10"/>
      <c r="K163" s="10"/>
      <c r="L163" s="10"/>
      <c r="M163" s="10"/>
      <c r="N163" s="10"/>
    </row>
    <row r="164" ht="15.75" customHeight="1">
      <c r="A164" s="8" t="s">
        <v>1796</v>
      </c>
      <c r="B164" s="8" t="s">
        <v>270</v>
      </c>
      <c r="C164" s="8" t="s">
        <v>809</v>
      </c>
      <c r="D164" s="8" t="s">
        <v>1797</v>
      </c>
      <c r="E164" s="8" t="s">
        <v>1148</v>
      </c>
      <c r="F164" s="20">
        <v>85.0</v>
      </c>
      <c r="G164" s="21"/>
      <c r="H164" s="10"/>
      <c r="I164" s="10"/>
      <c r="J164" s="10"/>
      <c r="K164" s="10"/>
      <c r="L164" s="10"/>
      <c r="M164" s="10"/>
      <c r="N164" s="10"/>
    </row>
    <row r="165" ht="15.75" customHeight="1">
      <c r="A165" s="8" t="s">
        <v>1803</v>
      </c>
      <c r="B165" s="8" t="s">
        <v>270</v>
      </c>
      <c r="C165" s="8" t="s">
        <v>1146</v>
      </c>
      <c r="D165" s="8" t="s">
        <v>1804</v>
      </c>
      <c r="E165" s="8" t="s">
        <v>1148</v>
      </c>
      <c r="F165" s="20">
        <v>69.5</v>
      </c>
      <c r="G165" s="21"/>
      <c r="H165" s="10"/>
      <c r="I165" s="10"/>
      <c r="J165" s="10"/>
      <c r="K165" s="10"/>
      <c r="L165" s="10"/>
      <c r="M165" s="10"/>
      <c r="N165" s="10"/>
    </row>
    <row r="166" ht="15.75" customHeight="1">
      <c r="A166" s="8" t="s">
        <v>1808</v>
      </c>
      <c r="B166" s="8" t="s">
        <v>270</v>
      </c>
      <c r="C166" s="8" t="s">
        <v>1076</v>
      </c>
      <c r="D166" s="8" t="s">
        <v>1811</v>
      </c>
      <c r="E166" s="8" t="s">
        <v>1148</v>
      </c>
      <c r="F166" s="20">
        <v>52.37</v>
      </c>
      <c r="G166" s="21"/>
      <c r="H166" s="10"/>
      <c r="I166" s="10"/>
      <c r="J166" s="10"/>
      <c r="K166" s="10"/>
      <c r="L166" s="10"/>
      <c r="M166" s="10"/>
      <c r="N166" s="10"/>
    </row>
    <row r="167" ht="15.75" customHeight="1">
      <c r="A167" s="8" t="s">
        <v>1814</v>
      </c>
      <c r="B167" s="8" t="s">
        <v>270</v>
      </c>
      <c r="C167" s="8" t="s">
        <v>725</v>
      </c>
      <c r="D167" s="8" t="s">
        <v>1818</v>
      </c>
      <c r="E167" s="8" t="s">
        <v>823</v>
      </c>
      <c r="F167" s="20">
        <v>50.39</v>
      </c>
      <c r="G167" s="21"/>
      <c r="H167" s="10"/>
      <c r="I167" s="10"/>
      <c r="J167" s="10"/>
      <c r="K167" s="10"/>
      <c r="L167" s="10"/>
      <c r="M167" s="10"/>
      <c r="N167" s="10"/>
    </row>
    <row r="168" ht="15.75" customHeight="1">
      <c r="A168" s="8" t="s">
        <v>1822</v>
      </c>
      <c r="B168" s="8" t="s">
        <v>270</v>
      </c>
      <c r="C168" s="8" t="s">
        <v>1130</v>
      </c>
      <c r="D168" s="8" t="s">
        <v>1825</v>
      </c>
      <c r="E168" s="8" t="s">
        <v>823</v>
      </c>
      <c r="F168" s="20">
        <v>48.0</v>
      </c>
      <c r="G168" s="21"/>
      <c r="H168" s="10"/>
      <c r="I168" s="10"/>
      <c r="J168" s="10"/>
      <c r="K168" s="10"/>
      <c r="L168" s="10"/>
      <c r="M168" s="10"/>
      <c r="N168" s="10"/>
    </row>
    <row r="169" ht="15.75" customHeight="1">
      <c r="A169" s="8" t="s">
        <v>1829</v>
      </c>
      <c r="B169" s="8" t="s">
        <v>270</v>
      </c>
      <c r="C169" s="8" t="s">
        <v>609</v>
      </c>
      <c r="D169" s="8" t="s">
        <v>1700</v>
      </c>
      <c r="E169" s="8" t="s">
        <v>1148</v>
      </c>
      <c r="F169" s="20">
        <v>48.03</v>
      </c>
      <c r="G169" s="21"/>
      <c r="H169" s="10"/>
      <c r="I169" s="10"/>
      <c r="J169" s="10"/>
      <c r="K169" s="10"/>
      <c r="L169" s="10"/>
      <c r="M169" s="10"/>
      <c r="N169" s="10"/>
    </row>
    <row r="170" ht="15.75" customHeight="1">
      <c r="A170" s="8" t="s">
        <v>1834</v>
      </c>
      <c r="B170" s="8" t="s">
        <v>274</v>
      </c>
      <c r="C170" s="8" t="s">
        <v>635</v>
      </c>
      <c r="D170" s="8" t="s">
        <v>1724</v>
      </c>
      <c r="E170" s="8" t="s">
        <v>823</v>
      </c>
      <c r="F170" s="20">
        <v>68.84</v>
      </c>
      <c r="G170" s="21"/>
      <c r="H170" s="10"/>
      <c r="I170" s="10"/>
      <c r="J170" s="10"/>
      <c r="K170" s="10"/>
      <c r="L170" s="10"/>
      <c r="M170" s="10"/>
      <c r="N170" s="10"/>
    </row>
    <row r="171" ht="15.75" customHeight="1">
      <c r="A171" s="8" t="s">
        <v>1838</v>
      </c>
      <c r="B171" s="8" t="s">
        <v>274</v>
      </c>
      <c r="C171" s="8" t="s">
        <v>496</v>
      </c>
      <c r="D171" s="8" t="s">
        <v>1652</v>
      </c>
      <c r="E171" s="8" t="s">
        <v>1148</v>
      </c>
      <c r="F171" s="20">
        <v>55.53</v>
      </c>
      <c r="G171" s="21"/>
      <c r="H171" s="10"/>
      <c r="I171" s="10"/>
      <c r="J171" s="10"/>
      <c r="K171" s="10"/>
      <c r="L171" s="10"/>
      <c r="M171" s="10"/>
      <c r="N171" s="10"/>
    </row>
    <row r="172" ht="15.75" customHeight="1">
      <c r="A172" s="8" t="s">
        <v>1842</v>
      </c>
      <c r="B172" s="8" t="s">
        <v>274</v>
      </c>
      <c r="C172" s="8" t="s">
        <v>991</v>
      </c>
      <c r="D172" s="8" t="s">
        <v>1659</v>
      </c>
      <c r="E172" s="8" t="s">
        <v>1148</v>
      </c>
      <c r="F172" s="20">
        <v>42.0</v>
      </c>
      <c r="G172" s="21"/>
      <c r="H172" s="10"/>
      <c r="I172" s="10"/>
      <c r="J172" s="10"/>
      <c r="K172" s="10"/>
      <c r="L172" s="10"/>
      <c r="M172" s="10"/>
      <c r="N172" s="10"/>
    </row>
    <row r="173" ht="15.75" customHeight="1">
      <c r="A173" s="8" t="s">
        <v>1845</v>
      </c>
      <c r="B173" s="8" t="s">
        <v>274</v>
      </c>
      <c r="C173" s="8" t="s">
        <v>754</v>
      </c>
      <c r="D173" s="8" t="s">
        <v>1846</v>
      </c>
      <c r="E173" s="8" t="s">
        <v>1148</v>
      </c>
      <c r="F173" s="20">
        <v>39.01</v>
      </c>
      <c r="G173" s="21"/>
      <c r="H173" s="10"/>
      <c r="I173" s="10"/>
      <c r="J173" s="10"/>
      <c r="K173" s="10"/>
      <c r="L173" s="10"/>
      <c r="M173" s="10"/>
      <c r="N173" s="10"/>
    </row>
    <row r="174" ht="15.75" customHeight="1">
      <c r="A174" s="8" t="s">
        <v>1851</v>
      </c>
      <c r="B174" s="8" t="s">
        <v>274</v>
      </c>
      <c r="C174" s="8" t="s">
        <v>1067</v>
      </c>
      <c r="D174" s="8" t="s">
        <v>1672</v>
      </c>
      <c r="E174" s="8" t="s">
        <v>1148</v>
      </c>
      <c r="F174" s="20">
        <v>40.64</v>
      </c>
      <c r="G174" s="21"/>
      <c r="H174" s="10"/>
      <c r="I174" s="10"/>
      <c r="J174" s="10"/>
      <c r="K174" s="10"/>
      <c r="L174" s="10"/>
      <c r="M174" s="10"/>
      <c r="N174" s="10"/>
    </row>
    <row r="175" ht="15.75" customHeight="1">
      <c r="A175" s="8" t="s">
        <v>1855</v>
      </c>
      <c r="B175" s="8" t="s">
        <v>274</v>
      </c>
      <c r="C175" s="8" t="s">
        <v>1000</v>
      </c>
      <c r="D175" s="8" t="s">
        <v>1773</v>
      </c>
      <c r="E175" s="8" t="s">
        <v>1148</v>
      </c>
      <c r="F175" s="20">
        <v>29.99</v>
      </c>
      <c r="G175" s="21"/>
      <c r="H175" s="10"/>
      <c r="I175" s="10"/>
      <c r="J175" s="10"/>
      <c r="K175" s="10"/>
      <c r="L175" s="10"/>
      <c r="M175" s="10"/>
      <c r="N175" s="10"/>
    </row>
    <row r="176" ht="15.75" customHeight="1">
      <c r="A176" s="8" t="s">
        <v>1857</v>
      </c>
      <c r="B176" s="8" t="s">
        <v>274</v>
      </c>
      <c r="C176" s="8" t="s">
        <v>885</v>
      </c>
      <c r="D176" s="8" t="s">
        <v>1859</v>
      </c>
      <c r="E176" s="8" t="s">
        <v>823</v>
      </c>
      <c r="F176" s="20">
        <v>25.0</v>
      </c>
      <c r="G176" s="21"/>
      <c r="H176" s="10"/>
      <c r="I176" s="10"/>
      <c r="J176" s="10"/>
      <c r="K176" s="10"/>
      <c r="L176" s="10"/>
      <c r="M176" s="10"/>
      <c r="N176" s="10"/>
    </row>
    <row r="177" ht="15.75" customHeight="1">
      <c r="A177" s="8" t="s">
        <v>1863</v>
      </c>
      <c r="B177" s="8" t="s">
        <v>274</v>
      </c>
      <c r="C177" s="8" t="s">
        <v>582</v>
      </c>
      <c r="D177" s="8" t="s">
        <v>1864</v>
      </c>
      <c r="E177" s="8" t="s">
        <v>1148</v>
      </c>
      <c r="F177" s="20">
        <v>21.37</v>
      </c>
      <c r="G177" s="21"/>
      <c r="H177" s="10"/>
      <c r="I177" s="10"/>
      <c r="J177" s="10"/>
      <c r="K177" s="10"/>
      <c r="L177" s="10"/>
      <c r="M177" s="10"/>
      <c r="N177" s="10"/>
    </row>
    <row r="178" ht="15.75" customHeight="1">
      <c r="A178" s="8" t="s">
        <v>1867</v>
      </c>
      <c r="B178" s="8" t="s">
        <v>280</v>
      </c>
      <c r="C178" s="8" t="s">
        <v>963</v>
      </c>
      <c r="D178" s="8" t="s">
        <v>1697</v>
      </c>
      <c r="E178" s="8" t="s">
        <v>1868</v>
      </c>
      <c r="F178" s="20">
        <v>44.44</v>
      </c>
      <c r="G178" s="21"/>
      <c r="H178" s="10"/>
      <c r="I178" s="10"/>
      <c r="J178" s="10"/>
      <c r="K178" s="10"/>
      <c r="L178" s="10"/>
      <c r="M178" s="10"/>
      <c r="N178" s="10"/>
    </row>
    <row r="179" ht="15.75" customHeight="1">
      <c r="A179" s="8" t="s">
        <v>1872</v>
      </c>
      <c r="B179" s="8" t="s">
        <v>280</v>
      </c>
      <c r="C179" s="8" t="s">
        <v>537</v>
      </c>
      <c r="D179" s="8" t="s">
        <v>1431</v>
      </c>
      <c r="E179" s="8" t="s">
        <v>101</v>
      </c>
      <c r="F179" s="20">
        <v>16.14</v>
      </c>
      <c r="G179" s="21"/>
      <c r="H179" s="10"/>
      <c r="I179" s="10"/>
      <c r="J179" s="10"/>
      <c r="K179" s="10"/>
      <c r="L179" s="10"/>
      <c r="M179" s="10"/>
      <c r="N179" s="10"/>
    </row>
    <row r="180" ht="15.75" customHeight="1">
      <c r="A180" s="8" t="s">
        <v>1877</v>
      </c>
      <c r="B180" s="8" t="s">
        <v>280</v>
      </c>
      <c r="C180" s="8" t="s">
        <v>992</v>
      </c>
      <c r="D180" s="8" t="s">
        <v>1878</v>
      </c>
      <c r="E180" s="8" t="s">
        <v>101</v>
      </c>
      <c r="F180" s="20">
        <v>12.28</v>
      </c>
      <c r="G180" s="21"/>
      <c r="H180" s="10"/>
      <c r="I180" s="10"/>
      <c r="J180" s="10"/>
      <c r="K180" s="10"/>
      <c r="L180" s="10"/>
      <c r="M180" s="10"/>
      <c r="N180" s="10"/>
    </row>
    <row r="181" ht="15.75" customHeight="1">
      <c r="A181" s="8" t="s">
        <v>1880</v>
      </c>
      <c r="B181" s="8" t="s">
        <v>280</v>
      </c>
      <c r="C181" s="8" t="s">
        <v>986</v>
      </c>
      <c r="D181" s="8" t="s">
        <v>267</v>
      </c>
      <c r="E181" s="8" t="s">
        <v>1884</v>
      </c>
      <c r="F181" s="20">
        <v>11.99</v>
      </c>
      <c r="G181" s="21"/>
      <c r="H181" s="10"/>
      <c r="I181" s="10"/>
      <c r="J181" s="10"/>
      <c r="K181" s="10"/>
      <c r="L181" s="10"/>
      <c r="M181" s="10"/>
      <c r="N181" s="10"/>
    </row>
    <row r="182" ht="15.75" customHeight="1">
      <c r="A182" s="8" t="s">
        <v>1886</v>
      </c>
      <c r="B182" s="8" t="s">
        <v>280</v>
      </c>
      <c r="C182" s="8" t="s">
        <v>992</v>
      </c>
      <c r="D182" s="8" t="s">
        <v>1887</v>
      </c>
      <c r="E182" s="8" t="s">
        <v>1888</v>
      </c>
      <c r="F182" s="20">
        <v>11.49</v>
      </c>
      <c r="G182" s="21"/>
      <c r="H182" s="10"/>
      <c r="I182" s="10"/>
      <c r="J182" s="10"/>
      <c r="K182" s="10"/>
      <c r="L182" s="10"/>
      <c r="M182" s="10"/>
      <c r="N182" s="10"/>
    </row>
    <row r="183" ht="15.75" customHeight="1">
      <c r="A183" s="8" t="s">
        <v>1891</v>
      </c>
      <c r="B183" s="8" t="s">
        <v>280</v>
      </c>
      <c r="C183" s="8" t="s">
        <v>1072</v>
      </c>
      <c r="D183" s="8" t="s">
        <v>1245</v>
      </c>
      <c r="E183" s="8" t="s">
        <v>133</v>
      </c>
      <c r="F183" s="20">
        <v>10.74</v>
      </c>
      <c r="G183" s="21"/>
      <c r="H183" s="10"/>
      <c r="I183" s="10"/>
      <c r="J183" s="10"/>
      <c r="K183" s="10"/>
      <c r="L183" s="10"/>
      <c r="M183" s="10"/>
      <c r="N183" s="10"/>
    </row>
    <row r="184" ht="15.75" customHeight="1">
      <c r="A184" s="8" t="s">
        <v>1897</v>
      </c>
      <c r="B184" s="8" t="s">
        <v>280</v>
      </c>
      <c r="C184" s="8" t="s">
        <v>1898</v>
      </c>
      <c r="D184" s="8" t="s">
        <v>262</v>
      </c>
      <c r="E184" s="8" t="s">
        <v>1899</v>
      </c>
      <c r="F184" s="20">
        <v>10.51</v>
      </c>
      <c r="G184" s="21"/>
      <c r="H184" s="10"/>
      <c r="I184" s="10"/>
      <c r="J184" s="10"/>
      <c r="K184" s="10"/>
      <c r="L184" s="10"/>
      <c r="M184" s="10"/>
      <c r="N184" s="10"/>
    </row>
    <row r="185" ht="15.75" customHeight="1">
      <c r="A185" s="8" t="s">
        <v>1901</v>
      </c>
      <c r="B185" s="8" t="s">
        <v>280</v>
      </c>
      <c r="C185" s="8" t="s">
        <v>1904</v>
      </c>
      <c r="D185" s="8" t="s">
        <v>1905</v>
      </c>
      <c r="E185" s="8" t="s">
        <v>1906</v>
      </c>
      <c r="F185" s="20">
        <v>9.56</v>
      </c>
      <c r="G185" s="21"/>
      <c r="H185" s="10"/>
      <c r="I185" s="10"/>
      <c r="J185" s="10"/>
      <c r="K185" s="10"/>
      <c r="L185" s="10"/>
      <c r="M185" s="10"/>
      <c r="N185" s="10"/>
    </row>
    <row r="186" ht="15.75" customHeight="1">
      <c r="A186" s="8" t="s">
        <v>1908</v>
      </c>
      <c r="B186" s="8" t="s">
        <v>284</v>
      </c>
      <c r="C186" s="8" t="s">
        <v>869</v>
      </c>
      <c r="D186" s="8" t="s">
        <v>1910</v>
      </c>
      <c r="E186" s="8" t="s">
        <v>101</v>
      </c>
      <c r="F186" s="20">
        <v>60.0</v>
      </c>
      <c r="G186" s="21"/>
      <c r="H186" s="10"/>
      <c r="I186" s="10"/>
      <c r="J186" s="10"/>
      <c r="K186" s="10"/>
      <c r="L186" s="10"/>
      <c r="M186" s="10"/>
      <c r="N186" s="10"/>
    </row>
    <row r="187" ht="15.75" customHeight="1">
      <c r="A187" s="8" t="s">
        <v>1914</v>
      </c>
      <c r="B187" s="8" t="s">
        <v>284</v>
      </c>
      <c r="C187" s="8" t="s">
        <v>871</v>
      </c>
      <c r="D187" s="8" t="s">
        <v>1915</v>
      </c>
      <c r="E187" s="8" t="s">
        <v>1868</v>
      </c>
      <c r="F187" s="20">
        <v>48.93</v>
      </c>
      <c r="G187" s="21"/>
      <c r="H187" s="10"/>
      <c r="I187" s="10"/>
      <c r="J187" s="10"/>
      <c r="K187" s="10"/>
      <c r="L187" s="10"/>
      <c r="M187" s="10"/>
      <c r="N187" s="10"/>
    </row>
    <row r="188" ht="15.75" customHeight="1">
      <c r="A188" s="8" t="s">
        <v>1920</v>
      </c>
      <c r="B188" s="8" t="s">
        <v>284</v>
      </c>
      <c r="C188" s="8" t="s">
        <v>488</v>
      </c>
      <c r="D188" s="8" t="s">
        <v>1921</v>
      </c>
      <c r="E188" s="8" t="s">
        <v>1868</v>
      </c>
      <c r="F188" s="20">
        <v>38.65</v>
      </c>
      <c r="G188" s="21"/>
      <c r="H188" s="10"/>
      <c r="I188" s="10"/>
      <c r="J188" s="10"/>
      <c r="K188" s="10"/>
      <c r="L188" s="10"/>
      <c r="M188" s="10"/>
      <c r="N188" s="10"/>
    </row>
    <row r="189" ht="15.75" customHeight="1">
      <c r="A189" s="8" t="s">
        <v>1923</v>
      </c>
      <c r="B189" s="8" t="s">
        <v>284</v>
      </c>
      <c r="C189" s="8" t="s">
        <v>871</v>
      </c>
      <c r="D189" s="8" t="s">
        <v>1924</v>
      </c>
      <c r="E189" s="8" t="s">
        <v>1868</v>
      </c>
      <c r="F189" s="20">
        <v>30.5</v>
      </c>
      <c r="G189" s="21"/>
      <c r="H189" s="10"/>
      <c r="I189" s="10"/>
      <c r="J189" s="10"/>
      <c r="K189" s="10"/>
      <c r="L189" s="10"/>
      <c r="M189" s="10"/>
      <c r="N189" s="10"/>
    </row>
    <row r="190" ht="15.75" customHeight="1">
      <c r="A190" s="8" t="s">
        <v>1928</v>
      </c>
      <c r="B190" s="8" t="s">
        <v>284</v>
      </c>
      <c r="C190" s="8" t="s">
        <v>986</v>
      </c>
      <c r="D190" s="8" t="s">
        <v>207</v>
      </c>
      <c r="E190" s="8" t="s">
        <v>1884</v>
      </c>
      <c r="F190" s="20">
        <v>17.28</v>
      </c>
      <c r="G190" s="21"/>
      <c r="H190" s="10"/>
      <c r="I190" s="10"/>
      <c r="J190" s="10"/>
      <c r="K190" s="10"/>
      <c r="L190" s="10"/>
      <c r="M190" s="10"/>
      <c r="N190" s="10"/>
    </row>
    <row r="191" ht="15.75" customHeight="1">
      <c r="A191" s="8" t="s">
        <v>1932</v>
      </c>
      <c r="B191" s="8" t="s">
        <v>284</v>
      </c>
      <c r="C191" s="8" t="s">
        <v>485</v>
      </c>
      <c r="D191" s="8" t="s">
        <v>1933</v>
      </c>
      <c r="E191" s="8" t="s">
        <v>101</v>
      </c>
      <c r="F191" s="20">
        <v>15.22</v>
      </c>
      <c r="G191" s="21"/>
      <c r="H191" s="10"/>
      <c r="I191" s="10"/>
      <c r="J191" s="10"/>
      <c r="K191" s="10"/>
      <c r="L191" s="10"/>
      <c r="M191" s="10"/>
      <c r="N191" s="10"/>
    </row>
    <row r="192" ht="15.75" customHeight="1">
      <c r="A192" s="8" t="s">
        <v>1937</v>
      </c>
      <c r="B192" s="8" t="s">
        <v>284</v>
      </c>
      <c r="C192" s="8" t="s">
        <v>983</v>
      </c>
      <c r="D192" s="8" t="s">
        <v>257</v>
      </c>
      <c r="E192" s="8" t="s">
        <v>1884</v>
      </c>
      <c r="F192" s="20">
        <v>11.99</v>
      </c>
      <c r="G192" s="21"/>
      <c r="H192" s="10"/>
      <c r="I192" s="10"/>
      <c r="J192" s="10"/>
      <c r="K192" s="10"/>
      <c r="L192" s="10"/>
      <c r="M192" s="10"/>
      <c r="N192" s="10"/>
    </row>
    <row r="193" ht="15.75" customHeight="1">
      <c r="A193" s="8" t="s">
        <v>1943</v>
      </c>
      <c r="B193" s="8" t="s">
        <v>284</v>
      </c>
      <c r="C193" s="8" t="s">
        <v>854</v>
      </c>
      <c r="D193" s="8" t="s">
        <v>1944</v>
      </c>
      <c r="E193" s="8" t="s">
        <v>1868</v>
      </c>
      <c r="F193" s="20">
        <v>11.01</v>
      </c>
      <c r="G193" s="21"/>
      <c r="H193" s="10"/>
      <c r="I193" s="10"/>
      <c r="J193" s="10"/>
      <c r="K193" s="10"/>
      <c r="L193" s="10"/>
      <c r="M193" s="10"/>
      <c r="N193" s="10"/>
    </row>
    <row r="194" ht="15.75" customHeight="1">
      <c r="A194" s="8" t="s">
        <v>1947</v>
      </c>
      <c r="B194" s="8" t="s">
        <v>289</v>
      </c>
      <c r="C194" s="8" t="s">
        <v>865</v>
      </c>
      <c r="D194" s="8" t="s">
        <v>292</v>
      </c>
      <c r="E194" s="8" t="s">
        <v>1868</v>
      </c>
      <c r="F194" s="20">
        <v>61.3</v>
      </c>
      <c r="G194" s="21"/>
      <c r="H194" s="10"/>
      <c r="I194" s="10"/>
      <c r="J194" s="10"/>
      <c r="K194" s="10"/>
      <c r="L194" s="10"/>
      <c r="M194" s="10"/>
      <c r="N194" s="10"/>
    </row>
    <row r="195" ht="15.75" customHeight="1">
      <c r="A195" s="8" t="s">
        <v>1952</v>
      </c>
      <c r="B195" s="8" t="s">
        <v>289</v>
      </c>
      <c r="C195" s="8" t="s">
        <v>1953</v>
      </c>
      <c r="D195" s="8" t="s">
        <v>171</v>
      </c>
      <c r="E195" s="8" t="s">
        <v>1888</v>
      </c>
      <c r="F195" s="20">
        <v>8.62</v>
      </c>
      <c r="G195" s="21"/>
      <c r="H195" s="10"/>
      <c r="I195" s="10"/>
      <c r="J195" s="10"/>
      <c r="K195" s="10"/>
      <c r="L195" s="10"/>
      <c r="M195" s="10"/>
      <c r="N195" s="10"/>
    </row>
    <row r="196" ht="15.75" customHeight="1">
      <c r="A196" s="8" t="s">
        <v>1956</v>
      </c>
      <c r="B196" s="8" t="s">
        <v>289</v>
      </c>
      <c r="C196" s="8" t="s">
        <v>1959</v>
      </c>
      <c r="D196" s="8" t="s">
        <v>143</v>
      </c>
      <c r="E196" s="8" t="s">
        <v>1888</v>
      </c>
      <c r="F196" s="20">
        <v>8.99</v>
      </c>
      <c r="G196" s="21"/>
      <c r="H196" s="10"/>
      <c r="I196" s="10"/>
      <c r="J196" s="10"/>
      <c r="K196" s="10"/>
      <c r="L196" s="10"/>
      <c r="M196" s="10"/>
      <c r="N196" s="10"/>
    </row>
    <row r="197" ht="15.75" customHeight="1">
      <c r="A197" s="8" t="s">
        <v>1962</v>
      </c>
      <c r="B197" s="8" t="s">
        <v>289</v>
      </c>
      <c r="C197" s="8" t="s">
        <v>963</v>
      </c>
      <c r="D197" s="8" t="s">
        <v>112</v>
      </c>
      <c r="E197" s="8" t="s">
        <v>1966</v>
      </c>
      <c r="F197" s="20">
        <v>6.5</v>
      </c>
      <c r="G197" s="21"/>
      <c r="H197" s="10"/>
      <c r="I197" s="10"/>
      <c r="J197" s="10"/>
      <c r="K197" s="10"/>
      <c r="L197" s="10"/>
      <c r="M197" s="10"/>
      <c r="N197" s="10"/>
    </row>
    <row r="198" ht="15.75" customHeight="1">
      <c r="A198" s="8" t="s">
        <v>1968</v>
      </c>
      <c r="B198" s="8" t="s">
        <v>289</v>
      </c>
      <c r="C198" s="8" t="s">
        <v>1969</v>
      </c>
      <c r="D198" s="8" t="s">
        <v>157</v>
      </c>
      <c r="E198" s="8" t="s">
        <v>1906</v>
      </c>
      <c r="F198" s="20">
        <v>4.91</v>
      </c>
      <c r="G198" s="21"/>
      <c r="H198" s="10"/>
      <c r="I198" s="10"/>
      <c r="J198" s="10"/>
      <c r="K198" s="10"/>
      <c r="L198" s="10"/>
      <c r="M198" s="10"/>
      <c r="N198" s="10"/>
    </row>
    <row r="199" ht="15.75" customHeight="1">
      <c r="A199" s="8" t="s">
        <v>1973</v>
      </c>
      <c r="B199" s="8" t="s">
        <v>289</v>
      </c>
      <c r="C199" s="8" t="s">
        <v>1974</v>
      </c>
      <c r="D199" s="8" t="s">
        <v>128</v>
      </c>
      <c r="E199" s="8" t="s">
        <v>1906</v>
      </c>
      <c r="F199" s="20">
        <v>5.44</v>
      </c>
      <c r="G199" s="21"/>
      <c r="H199" s="10"/>
      <c r="I199" s="10"/>
      <c r="J199" s="10"/>
      <c r="K199" s="10"/>
      <c r="L199" s="10"/>
      <c r="M199" s="10"/>
      <c r="N199" s="10"/>
    </row>
    <row r="200" ht="15.75" customHeight="1">
      <c r="A200" s="8" t="s">
        <v>1978</v>
      </c>
      <c r="B200" s="8" t="s">
        <v>289</v>
      </c>
      <c r="C200" s="8" t="s">
        <v>865</v>
      </c>
      <c r="D200" s="8" t="s">
        <v>207</v>
      </c>
      <c r="E200" s="8" t="s">
        <v>1966</v>
      </c>
      <c r="F200" s="20">
        <v>4.0</v>
      </c>
      <c r="G200" s="21"/>
      <c r="H200" s="10"/>
      <c r="I200" s="10"/>
      <c r="J200" s="10"/>
      <c r="K200" s="10"/>
      <c r="L200" s="10"/>
      <c r="M200" s="10"/>
      <c r="N200" s="10"/>
    </row>
    <row r="201" ht="15.75" customHeight="1">
      <c r="A201" s="8" t="s">
        <v>1981</v>
      </c>
      <c r="B201" s="8" t="s">
        <v>289</v>
      </c>
      <c r="C201" s="8" t="s">
        <v>1982</v>
      </c>
      <c r="D201" s="8" t="s">
        <v>287</v>
      </c>
      <c r="E201" s="8" t="s">
        <v>101</v>
      </c>
      <c r="F201" s="20">
        <v>1.75</v>
      </c>
      <c r="G201" s="21"/>
      <c r="H201" s="10"/>
      <c r="I201" s="10"/>
      <c r="J201" s="10"/>
      <c r="K201" s="10"/>
      <c r="L201" s="10"/>
      <c r="M201" s="10"/>
      <c r="N201" s="10"/>
    </row>
    <row r="202" ht="15.75" customHeight="1">
      <c r="A202" s="8" t="s">
        <v>1986</v>
      </c>
      <c r="B202" s="8" t="s">
        <v>294</v>
      </c>
      <c r="C202" s="8" t="s">
        <v>332</v>
      </c>
      <c r="D202" s="8" t="s">
        <v>1700</v>
      </c>
      <c r="E202" s="8" t="s">
        <v>1868</v>
      </c>
      <c r="F202" s="20">
        <v>350.0</v>
      </c>
      <c r="G202" s="21"/>
      <c r="H202" s="10"/>
      <c r="I202" s="10"/>
      <c r="J202" s="10"/>
      <c r="K202" s="10"/>
      <c r="L202" s="10"/>
      <c r="M202" s="10"/>
      <c r="N202" s="10"/>
    </row>
    <row r="203" ht="15.75" customHeight="1">
      <c r="A203" s="8" t="s">
        <v>1990</v>
      </c>
      <c r="B203" s="8" t="s">
        <v>294</v>
      </c>
      <c r="C203" s="8" t="s">
        <v>614</v>
      </c>
      <c r="D203" s="8" t="s">
        <v>1308</v>
      </c>
      <c r="E203" s="8" t="s">
        <v>101</v>
      </c>
      <c r="F203" s="20">
        <v>192.61</v>
      </c>
      <c r="G203" s="21"/>
      <c r="H203" s="10"/>
      <c r="I203" s="10"/>
      <c r="J203" s="10"/>
      <c r="K203" s="10"/>
      <c r="L203" s="10"/>
      <c r="M203" s="10"/>
      <c r="N203" s="10"/>
    </row>
    <row r="204" ht="15.75" customHeight="1">
      <c r="A204" s="8" t="s">
        <v>1994</v>
      </c>
      <c r="B204" s="8" t="s">
        <v>294</v>
      </c>
      <c r="C204" s="8" t="s">
        <v>1072</v>
      </c>
      <c r="D204" s="8" t="s">
        <v>1995</v>
      </c>
      <c r="E204" s="8" t="s">
        <v>1868</v>
      </c>
      <c r="F204" s="20">
        <v>131.65</v>
      </c>
      <c r="G204" s="21"/>
      <c r="H204" s="10"/>
      <c r="I204" s="10"/>
      <c r="J204" s="10"/>
      <c r="K204" s="10"/>
      <c r="L204" s="10"/>
      <c r="M204" s="10"/>
      <c r="N204" s="10"/>
    </row>
    <row r="205" ht="15.75" customHeight="1">
      <c r="A205" s="8" t="s">
        <v>1996</v>
      </c>
      <c r="B205" s="8" t="s">
        <v>294</v>
      </c>
      <c r="C205" s="8" t="s">
        <v>621</v>
      </c>
      <c r="D205" s="8" t="s">
        <v>1295</v>
      </c>
      <c r="E205" s="8" t="s">
        <v>101</v>
      </c>
      <c r="F205" s="20">
        <v>104.85</v>
      </c>
      <c r="G205" s="21"/>
      <c r="H205" s="10"/>
      <c r="I205" s="10"/>
      <c r="J205" s="10"/>
      <c r="K205" s="10"/>
      <c r="L205" s="10"/>
      <c r="M205" s="10"/>
      <c r="N205" s="10"/>
    </row>
    <row r="206" ht="15.75" customHeight="1">
      <c r="A206" s="8" t="s">
        <v>2001</v>
      </c>
      <c r="B206" s="8" t="s">
        <v>294</v>
      </c>
      <c r="C206" s="8" t="s">
        <v>1198</v>
      </c>
      <c r="D206" s="8" t="s">
        <v>1344</v>
      </c>
      <c r="E206" s="8" t="s">
        <v>101</v>
      </c>
      <c r="F206" s="20">
        <v>86.64</v>
      </c>
      <c r="G206" s="21"/>
      <c r="H206" s="10"/>
      <c r="I206" s="10"/>
      <c r="J206" s="10"/>
      <c r="K206" s="10"/>
      <c r="L206" s="10"/>
      <c r="M206" s="10"/>
      <c r="N206" s="10"/>
    </row>
    <row r="207" ht="15.75" customHeight="1">
      <c r="A207" s="8" t="s">
        <v>2005</v>
      </c>
      <c r="B207" s="8" t="s">
        <v>294</v>
      </c>
      <c r="C207" s="8" t="s">
        <v>617</v>
      </c>
      <c r="D207" s="8" t="s">
        <v>1578</v>
      </c>
      <c r="E207" s="8" t="s">
        <v>101</v>
      </c>
      <c r="F207" s="20">
        <v>82.89</v>
      </c>
      <c r="G207" s="21"/>
      <c r="H207" s="10"/>
      <c r="I207" s="10"/>
      <c r="J207" s="10"/>
      <c r="K207" s="10"/>
      <c r="L207" s="10"/>
      <c r="M207" s="10"/>
      <c r="N207" s="10"/>
    </row>
    <row r="208" ht="15.75" customHeight="1">
      <c r="A208" s="8" t="s">
        <v>2010</v>
      </c>
      <c r="B208" s="8" t="s">
        <v>294</v>
      </c>
      <c r="C208" s="8" t="s">
        <v>611</v>
      </c>
      <c r="D208" s="8" t="s">
        <v>1435</v>
      </c>
      <c r="E208" s="8" t="s">
        <v>101</v>
      </c>
      <c r="F208" s="20">
        <v>63.45</v>
      </c>
      <c r="G208" s="21"/>
      <c r="H208" s="10"/>
      <c r="I208" s="10"/>
      <c r="J208" s="10"/>
      <c r="K208" s="10"/>
      <c r="L208" s="10"/>
      <c r="M208" s="10"/>
      <c r="N208" s="10"/>
    </row>
    <row r="209" ht="15.75" customHeight="1">
      <c r="A209" s="8" t="s">
        <v>2013</v>
      </c>
      <c r="B209" s="8" t="s">
        <v>294</v>
      </c>
      <c r="C209" s="8" t="s">
        <v>1043</v>
      </c>
      <c r="D209" s="8" t="s">
        <v>1677</v>
      </c>
      <c r="E209" s="8" t="s">
        <v>1868</v>
      </c>
      <c r="F209" s="20">
        <v>61.74</v>
      </c>
      <c r="G209" s="21"/>
      <c r="H209" s="10"/>
      <c r="I209" s="10"/>
      <c r="J209" s="10"/>
      <c r="K209" s="10"/>
      <c r="L209" s="10"/>
      <c r="M209" s="10"/>
      <c r="N209" s="10"/>
    </row>
    <row r="210" ht="15.75" customHeight="1">
      <c r="A210" s="8" t="s">
        <v>2017</v>
      </c>
      <c r="B210" s="8" t="s">
        <v>299</v>
      </c>
      <c r="C210" s="8" t="s">
        <v>1058</v>
      </c>
      <c r="D210" s="8" t="s">
        <v>1910</v>
      </c>
      <c r="E210" s="8" t="s">
        <v>101</v>
      </c>
      <c r="F210" s="20">
        <v>11.35</v>
      </c>
      <c r="G210" s="21"/>
      <c r="H210" s="10"/>
      <c r="I210" s="10"/>
      <c r="J210" s="10"/>
      <c r="K210" s="10"/>
      <c r="L210" s="10"/>
      <c r="M210" s="10"/>
      <c r="N210" s="10"/>
    </row>
    <row r="211" ht="15.75" customHeight="1">
      <c r="A211" s="8" t="s">
        <v>2022</v>
      </c>
      <c r="B211" s="8" t="s">
        <v>299</v>
      </c>
      <c r="C211" s="8" t="s">
        <v>2023</v>
      </c>
      <c r="D211" s="8" t="s">
        <v>2024</v>
      </c>
      <c r="E211" s="8" t="s">
        <v>101</v>
      </c>
      <c r="F211" s="20">
        <v>10.05</v>
      </c>
      <c r="G211" s="21"/>
      <c r="H211" s="10"/>
      <c r="I211" s="10"/>
      <c r="J211" s="10"/>
      <c r="K211" s="10"/>
      <c r="L211" s="10"/>
      <c r="M211" s="10"/>
      <c r="N211" s="10"/>
    </row>
    <row r="212" ht="15.75" customHeight="1">
      <c r="A212" s="8" t="s">
        <v>2028</v>
      </c>
      <c r="B212" s="8" t="s">
        <v>299</v>
      </c>
      <c r="C212" s="8" t="s">
        <v>2029</v>
      </c>
      <c r="D212" s="8" t="s">
        <v>2030</v>
      </c>
      <c r="E212" s="8" t="s">
        <v>101</v>
      </c>
      <c r="F212" s="20">
        <v>6.48</v>
      </c>
      <c r="G212" s="21"/>
      <c r="H212" s="10"/>
      <c r="I212" s="10"/>
      <c r="J212" s="10"/>
      <c r="K212" s="10"/>
      <c r="L212" s="10"/>
      <c r="M212" s="10"/>
      <c r="N212" s="10"/>
    </row>
    <row r="213" ht="15.75" customHeight="1">
      <c r="A213" s="8" t="s">
        <v>2032</v>
      </c>
      <c r="B213" s="8" t="s">
        <v>299</v>
      </c>
      <c r="C213" s="8" t="s">
        <v>2035</v>
      </c>
      <c r="D213" s="8" t="s">
        <v>2036</v>
      </c>
      <c r="E213" s="8" t="s">
        <v>1888</v>
      </c>
      <c r="F213" s="20">
        <v>5.49</v>
      </c>
      <c r="G213" s="21"/>
      <c r="H213" s="10"/>
      <c r="I213" s="10"/>
      <c r="J213" s="10"/>
      <c r="K213" s="10"/>
      <c r="L213" s="10"/>
      <c r="M213" s="10"/>
      <c r="N213" s="10"/>
    </row>
    <row r="214" ht="15.75" customHeight="1">
      <c r="A214" s="8" t="s">
        <v>2040</v>
      </c>
      <c r="B214" s="8" t="s">
        <v>299</v>
      </c>
      <c r="C214" s="8" t="s">
        <v>2041</v>
      </c>
      <c r="D214" s="8" t="s">
        <v>2043</v>
      </c>
      <c r="E214" s="8" t="s">
        <v>1868</v>
      </c>
      <c r="F214" s="20">
        <v>4.77</v>
      </c>
      <c r="G214" s="21"/>
      <c r="H214" s="10"/>
      <c r="I214" s="10"/>
      <c r="J214" s="10"/>
      <c r="K214" s="10"/>
      <c r="L214" s="10"/>
      <c r="M214" s="10"/>
      <c r="N214" s="10"/>
    </row>
    <row r="215" ht="15.75" customHeight="1">
      <c r="A215" s="8" t="s">
        <v>2046</v>
      </c>
      <c r="B215" s="8" t="s">
        <v>299</v>
      </c>
      <c r="C215" s="8" t="s">
        <v>2047</v>
      </c>
      <c r="D215" s="8" t="s">
        <v>2049</v>
      </c>
      <c r="E215" s="8" t="s">
        <v>101</v>
      </c>
      <c r="F215" s="20">
        <v>3.77</v>
      </c>
      <c r="G215" s="21"/>
      <c r="H215" s="10"/>
      <c r="I215" s="10"/>
      <c r="J215" s="10"/>
      <c r="K215" s="10"/>
      <c r="L215" s="10"/>
      <c r="M215" s="10"/>
      <c r="N215" s="10"/>
    </row>
    <row r="216" ht="15.75" customHeight="1">
      <c r="A216" s="8" t="s">
        <v>2053</v>
      </c>
      <c r="B216" s="8" t="s">
        <v>299</v>
      </c>
      <c r="C216" s="8" t="s">
        <v>2054</v>
      </c>
      <c r="D216" s="8" t="s">
        <v>273</v>
      </c>
      <c r="E216" s="8" t="s">
        <v>2055</v>
      </c>
      <c r="F216" s="20">
        <v>4.0</v>
      </c>
      <c r="G216" s="21"/>
      <c r="H216" s="10"/>
      <c r="I216" s="10"/>
      <c r="J216" s="10"/>
      <c r="K216" s="10"/>
      <c r="L216" s="10"/>
      <c r="M216" s="10"/>
      <c r="N216" s="10"/>
    </row>
    <row r="217" ht="15.75" customHeight="1">
      <c r="A217" s="8" t="s">
        <v>2056</v>
      </c>
      <c r="B217" s="8" t="s">
        <v>299</v>
      </c>
      <c r="C217" s="8" t="s">
        <v>2059</v>
      </c>
      <c r="D217" s="8" t="s">
        <v>2060</v>
      </c>
      <c r="E217" s="8" t="s">
        <v>1888</v>
      </c>
      <c r="F217" s="20">
        <v>3.74</v>
      </c>
      <c r="G217" s="21"/>
      <c r="H217" s="10"/>
      <c r="I217" s="10"/>
      <c r="J217" s="10"/>
      <c r="K217" s="10"/>
      <c r="L217" s="10"/>
      <c r="M217" s="10"/>
      <c r="N217" s="10"/>
    </row>
    <row r="218" ht="15.75" customHeight="1">
      <c r="A218" s="8" t="s">
        <v>2061</v>
      </c>
      <c r="B218" s="8" t="s">
        <v>306</v>
      </c>
      <c r="C218" s="8" t="s">
        <v>349</v>
      </c>
      <c r="D218" s="8" t="s">
        <v>2062</v>
      </c>
      <c r="E218" s="8" t="s">
        <v>101</v>
      </c>
      <c r="F218" s="20">
        <v>50.33</v>
      </c>
      <c r="G218" s="21"/>
      <c r="H218" s="10"/>
      <c r="I218" s="10"/>
      <c r="J218" s="10"/>
      <c r="K218" s="10"/>
      <c r="L218" s="10"/>
      <c r="M218" s="10"/>
      <c r="N218" s="10"/>
    </row>
    <row r="219" ht="15.75" customHeight="1">
      <c r="A219" s="8" t="s">
        <v>2066</v>
      </c>
      <c r="B219" s="8" t="s">
        <v>306</v>
      </c>
      <c r="C219" s="8" t="s">
        <v>349</v>
      </c>
      <c r="D219" s="8" t="s">
        <v>1732</v>
      </c>
      <c r="E219" s="8" t="s">
        <v>1868</v>
      </c>
      <c r="F219" s="20">
        <v>39.42</v>
      </c>
      <c r="G219" s="21"/>
      <c r="H219" s="10"/>
      <c r="I219" s="10"/>
      <c r="J219" s="10"/>
      <c r="K219" s="10"/>
      <c r="L219" s="10"/>
      <c r="M219" s="10"/>
      <c r="N219" s="10"/>
    </row>
    <row r="220" ht="15.75" customHeight="1">
      <c r="A220" s="8" t="s">
        <v>2069</v>
      </c>
      <c r="B220" s="8" t="s">
        <v>306</v>
      </c>
      <c r="C220" s="8" t="s">
        <v>919</v>
      </c>
      <c r="D220" s="8" t="s">
        <v>1308</v>
      </c>
      <c r="E220" s="8" t="s">
        <v>101</v>
      </c>
      <c r="F220" s="20">
        <v>25.43</v>
      </c>
      <c r="G220" s="21"/>
      <c r="H220" s="10"/>
      <c r="I220" s="10"/>
      <c r="J220" s="10"/>
      <c r="K220" s="10"/>
      <c r="L220" s="10"/>
      <c r="M220" s="10"/>
      <c r="N220" s="10"/>
    </row>
    <row r="221" ht="15.75" customHeight="1">
      <c r="A221" s="8" t="s">
        <v>2071</v>
      </c>
      <c r="B221" s="8" t="s">
        <v>306</v>
      </c>
      <c r="C221" s="8" t="s">
        <v>478</v>
      </c>
      <c r="D221" s="8" t="s">
        <v>2072</v>
      </c>
      <c r="E221" s="8" t="s">
        <v>1868</v>
      </c>
      <c r="F221" s="20">
        <v>20.15</v>
      </c>
      <c r="G221" s="21"/>
      <c r="H221" s="10"/>
      <c r="I221" s="10"/>
      <c r="J221" s="10"/>
      <c r="K221" s="10"/>
      <c r="L221" s="10"/>
      <c r="M221" s="10"/>
      <c r="N221" s="10"/>
    </row>
    <row r="222" ht="15.75" customHeight="1">
      <c r="A222" s="8" t="s">
        <v>2075</v>
      </c>
      <c r="B222" s="8" t="s">
        <v>306</v>
      </c>
      <c r="C222" s="8" t="s">
        <v>1075</v>
      </c>
      <c r="D222" s="8" t="s">
        <v>2076</v>
      </c>
      <c r="E222" s="8" t="s">
        <v>101</v>
      </c>
      <c r="F222" s="20">
        <v>19.82</v>
      </c>
      <c r="G222" s="21"/>
      <c r="H222" s="10"/>
      <c r="I222" s="10"/>
      <c r="J222" s="10"/>
      <c r="K222" s="10"/>
      <c r="L222" s="10"/>
      <c r="M222" s="10"/>
      <c r="N222" s="10"/>
    </row>
    <row r="223" ht="15.75" customHeight="1">
      <c r="A223" s="8" t="s">
        <v>2080</v>
      </c>
      <c r="B223" s="8" t="s">
        <v>306</v>
      </c>
      <c r="C223" s="8" t="s">
        <v>1138</v>
      </c>
      <c r="D223" s="8" t="s">
        <v>1811</v>
      </c>
      <c r="E223" s="8" t="s">
        <v>1868</v>
      </c>
      <c r="F223" s="20">
        <v>17.9</v>
      </c>
      <c r="G223" s="21"/>
      <c r="H223" s="10"/>
      <c r="I223" s="10"/>
      <c r="J223" s="10"/>
      <c r="K223" s="10"/>
      <c r="L223" s="10"/>
      <c r="M223" s="10"/>
      <c r="N223" s="10"/>
    </row>
    <row r="224" ht="15.75" customHeight="1">
      <c r="A224" s="8" t="s">
        <v>2081</v>
      </c>
      <c r="B224" s="8" t="s">
        <v>306</v>
      </c>
      <c r="C224" s="8" t="s">
        <v>416</v>
      </c>
      <c r="D224" s="8" t="s">
        <v>1717</v>
      </c>
      <c r="E224" s="8" t="s">
        <v>1868</v>
      </c>
      <c r="F224" s="20">
        <v>17.73</v>
      </c>
      <c r="G224" s="21"/>
      <c r="H224" s="10"/>
      <c r="I224" s="10"/>
      <c r="J224" s="10"/>
      <c r="K224" s="10"/>
      <c r="L224" s="10"/>
      <c r="M224" s="10"/>
      <c r="N224" s="10"/>
    </row>
    <row r="225" ht="15.75" customHeight="1">
      <c r="A225" s="8" t="s">
        <v>2087</v>
      </c>
      <c r="B225" s="8" t="s">
        <v>306</v>
      </c>
      <c r="C225" s="8" t="s">
        <v>800</v>
      </c>
      <c r="D225" s="8" t="s">
        <v>2088</v>
      </c>
      <c r="E225" s="8" t="s">
        <v>2089</v>
      </c>
      <c r="F225" s="20">
        <v>20.08</v>
      </c>
      <c r="G225" s="21"/>
      <c r="H225" s="10"/>
      <c r="I225" s="10"/>
      <c r="J225" s="10"/>
      <c r="K225" s="10"/>
      <c r="L225" s="10"/>
      <c r="M225" s="10"/>
      <c r="N225" s="10"/>
    </row>
    <row r="226" ht="15.75" customHeight="1"/>
    <row r="227" ht="15.75" customHeight="1">
      <c r="A227" s="13" t="s">
        <v>2093</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9" t="s">
        <v>26</v>
      </c>
      <c r="B1" s="9" t="s">
        <v>789</v>
      </c>
      <c r="C1" s="7" t="s">
        <v>787</v>
      </c>
      <c r="D1" s="7" t="s">
        <v>792</v>
      </c>
      <c r="E1" s="7" t="s">
        <v>795</v>
      </c>
      <c r="F1" s="7" t="s">
        <v>897</v>
      </c>
      <c r="G1" s="9" t="s">
        <v>799</v>
      </c>
      <c r="H1" s="12" t="s">
        <v>900</v>
      </c>
      <c r="I1" s="9" t="s">
        <v>198</v>
      </c>
    </row>
    <row r="2">
      <c r="A2" s="10" t="s">
        <v>904</v>
      </c>
      <c r="B2" s="10" t="s">
        <v>459</v>
      </c>
      <c r="C2" s="10" t="s">
        <v>98</v>
      </c>
      <c r="D2" s="10"/>
      <c r="E2" s="10" t="s">
        <v>101</v>
      </c>
      <c r="F2" s="23"/>
      <c r="G2" s="23"/>
      <c r="H2" s="10"/>
      <c r="I2" s="10"/>
    </row>
    <row r="3">
      <c r="A3" s="10" t="s">
        <v>904</v>
      </c>
      <c r="B3" s="10" t="s">
        <v>837</v>
      </c>
      <c r="C3" s="10" t="s">
        <v>98</v>
      </c>
      <c r="D3" s="10"/>
      <c r="E3" s="10" t="s">
        <v>118</v>
      </c>
      <c r="F3" s="23"/>
      <c r="G3" s="23"/>
      <c r="H3" s="10"/>
      <c r="I3" s="10"/>
    </row>
    <row r="4">
      <c r="A4" s="10" t="s">
        <v>904</v>
      </c>
      <c r="B4" s="10" t="s">
        <v>836</v>
      </c>
      <c r="C4" s="10" t="s">
        <v>115</v>
      </c>
      <c r="D4" s="10"/>
      <c r="E4" s="10" t="s">
        <v>101</v>
      </c>
      <c r="F4" s="23"/>
      <c r="G4" s="23"/>
      <c r="H4" s="10"/>
      <c r="I4" s="10"/>
    </row>
    <row r="5">
      <c r="A5" s="10" t="s">
        <v>904</v>
      </c>
      <c r="B5" s="10" t="s">
        <v>851</v>
      </c>
      <c r="C5" s="10" t="s">
        <v>115</v>
      </c>
      <c r="D5" s="10"/>
      <c r="E5" s="10" t="s">
        <v>118</v>
      </c>
      <c r="F5" s="23"/>
      <c r="G5" s="23"/>
      <c r="H5" s="10"/>
      <c r="I5" s="10"/>
    </row>
    <row r="6">
      <c r="A6" s="10" t="s">
        <v>904</v>
      </c>
      <c r="B6" s="10" t="s">
        <v>807</v>
      </c>
      <c r="C6" s="10" t="s">
        <v>115</v>
      </c>
      <c r="D6" s="10"/>
      <c r="E6" s="10" t="s">
        <v>84</v>
      </c>
      <c r="F6" s="23"/>
      <c r="G6" s="23"/>
      <c r="H6" s="10"/>
      <c r="I6" s="10"/>
    </row>
    <row r="7">
      <c r="A7" s="10" t="s">
        <v>904</v>
      </c>
      <c r="B7" s="10" t="s">
        <v>993</v>
      </c>
      <c r="C7" s="10" t="s">
        <v>161</v>
      </c>
      <c r="D7" s="10"/>
      <c r="E7" s="10" t="s">
        <v>118</v>
      </c>
      <c r="F7" s="23"/>
      <c r="G7" s="23"/>
      <c r="H7" s="10"/>
      <c r="I7" s="10"/>
    </row>
    <row r="8">
      <c r="A8" s="10" t="s">
        <v>904</v>
      </c>
      <c r="B8" s="10" t="s">
        <v>1001</v>
      </c>
      <c r="C8" s="10" t="s">
        <v>161</v>
      </c>
      <c r="D8" s="10"/>
      <c r="E8" s="10" t="s">
        <v>84</v>
      </c>
      <c r="F8" s="23"/>
      <c r="G8" s="23"/>
      <c r="H8" s="10"/>
      <c r="I8" s="10"/>
    </row>
    <row r="9">
      <c r="A9" s="10" t="s">
        <v>904</v>
      </c>
      <c r="B9" s="10" t="s">
        <v>1011</v>
      </c>
      <c r="C9" s="10" t="s">
        <v>177</v>
      </c>
      <c r="D9" s="10"/>
      <c r="E9" s="10" t="s">
        <v>84</v>
      </c>
      <c r="F9" s="23"/>
      <c r="G9" s="23"/>
      <c r="H9" s="10"/>
      <c r="I9" s="10"/>
    </row>
    <row r="10">
      <c r="A10" s="10" t="s">
        <v>904</v>
      </c>
      <c r="B10" s="10" t="s">
        <v>1019</v>
      </c>
      <c r="C10" s="10" t="s">
        <v>177</v>
      </c>
      <c r="D10" s="10"/>
      <c r="E10" s="10" t="s">
        <v>101</v>
      </c>
      <c r="F10" s="23"/>
      <c r="G10" s="23"/>
      <c r="H10" s="10"/>
      <c r="I10" s="10"/>
    </row>
    <row r="11">
      <c r="A11" s="10" t="s">
        <v>904</v>
      </c>
      <c r="B11" s="10" t="s">
        <v>1029</v>
      </c>
      <c r="C11" s="10" t="s">
        <v>177</v>
      </c>
      <c r="D11" s="10"/>
      <c r="E11" s="10" t="s">
        <v>118</v>
      </c>
      <c r="F11" s="23"/>
      <c r="G11" s="23"/>
      <c r="H11" s="10"/>
      <c r="I11" s="10"/>
    </row>
    <row r="12">
      <c r="A12" s="10" t="s">
        <v>904</v>
      </c>
      <c r="B12" s="10" t="s">
        <v>1039</v>
      </c>
      <c r="C12" s="10" t="s">
        <v>209</v>
      </c>
      <c r="D12" s="10"/>
      <c r="E12" s="10" t="s">
        <v>149</v>
      </c>
      <c r="F12" s="23"/>
      <c r="G12" s="23"/>
      <c r="H12" s="10"/>
      <c r="I12" s="10"/>
    </row>
    <row r="13">
      <c r="A13" s="10" t="s">
        <v>904</v>
      </c>
      <c r="B13" s="10" t="s">
        <v>1048</v>
      </c>
      <c r="C13" s="10" t="s">
        <v>209</v>
      </c>
      <c r="D13" s="10"/>
      <c r="E13" s="10" t="s">
        <v>101</v>
      </c>
      <c r="F13" s="23"/>
      <c r="G13" s="23"/>
      <c r="H13" s="10"/>
      <c r="I13" s="10"/>
    </row>
    <row r="14">
      <c r="A14" s="10" t="s">
        <v>904</v>
      </c>
      <c r="B14" s="10" t="s">
        <v>817</v>
      </c>
      <c r="C14" s="10" t="s">
        <v>1059</v>
      </c>
      <c r="D14" s="10" t="s">
        <v>1062</v>
      </c>
      <c r="E14" s="10" t="s">
        <v>1065</v>
      </c>
      <c r="F14" s="23"/>
      <c r="G14" s="23">
        <v>176.57</v>
      </c>
      <c r="H14" s="10"/>
      <c r="I14" s="10"/>
    </row>
    <row r="15">
      <c r="A15" s="10" t="s">
        <v>904</v>
      </c>
      <c r="B15" s="10" t="s">
        <v>1071</v>
      </c>
      <c r="C15" s="10" t="s">
        <v>1059</v>
      </c>
      <c r="D15" s="10" t="s">
        <v>1073</v>
      </c>
      <c r="E15" s="10" t="s">
        <v>1065</v>
      </c>
      <c r="F15" s="23"/>
      <c r="G15" s="23">
        <v>99.78</v>
      </c>
      <c r="H15" s="10"/>
      <c r="I15" s="10"/>
    </row>
    <row r="16">
      <c r="A16" s="10" t="s">
        <v>1078</v>
      </c>
      <c r="B16" s="10" t="s">
        <v>1080</v>
      </c>
      <c r="C16" s="10" t="s">
        <v>115</v>
      </c>
      <c r="D16" s="10"/>
      <c r="E16" s="10" t="s">
        <v>84</v>
      </c>
      <c r="F16" s="23"/>
      <c r="G16" s="23"/>
      <c r="H16" s="10"/>
      <c r="I16" s="10"/>
    </row>
    <row r="17">
      <c r="A17" s="10" t="s">
        <v>1078</v>
      </c>
      <c r="B17" s="10" t="s">
        <v>805</v>
      </c>
      <c r="C17" s="10" t="s">
        <v>161</v>
      </c>
      <c r="D17" s="10"/>
      <c r="E17" s="10" t="s">
        <v>118</v>
      </c>
      <c r="F17" s="23"/>
      <c r="G17" s="23"/>
      <c r="H17" s="10"/>
      <c r="I17" s="10"/>
    </row>
    <row r="18">
      <c r="A18" s="10" t="s">
        <v>1078</v>
      </c>
      <c r="B18" s="10" t="s">
        <v>1101</v>
      </c>
      <c r="C18" s="10" t="s">
        <v>177</v>
      </c>
      <c r="D18" s="10"/>
      <c r="E18" s="10" t="s">
        <v>84</v>
      </c>
      <c r="F18" s="23"/>
      <c r="G18" s="23"/>
      <c r="H18" s="10"/>
      <c r="I18" s="10"/>
    </row>
    <row r="19">
      <c r="A19" s="10" t="s">
        <v>401</v>
      </c>
      <c r="B19" s="10" t="s">
        <v>838</v>
      </c>
      <c r="C19" s="10" t="s">
        <v>42</v>
      </c>
      <c r="D19" s="10"/>
      <c r="E19" s="10" t="s">
        <v>45</v>
      </c>
      <c r="F19" s="23"/>
      <c r="G19" s="23"/>
      <c r="H19" s="10"/>
      <c r="I19" s="10"/>
    </row>
    <row r="20">
      <c r="A20" s="10" t="s">
        <v>615</v>
      </c>
      <c r="B20" s="10" t="s">
        <v>414</v>
      </c>
      <c r="C20" s="10" t="s">
        <v>42</v>
      </c>
      <c r="D20" s="10"/>
      <c r="E20" s="10" t="s">
        <v>118</v>
      </c>
      <c r="F20" s="23"/>
      <c r="G20" s="23"/>
      <c r="H20" s="10"/>
      <c r="I20" s="10"/>
    </row>
    <row r="21" ht="15.75" customHeight="1">
      <c r="A21" s="10" t="s">
        <v>729</v>
      </c>
      <c r="B21" s="10" t="s">
        <v>1128</v>
      </c>
      <c r="C21" s="10" t="s">
        <v>20</v>
      </c>
      <c r="D21" s="10"/>
      <c r="E21" s="10" t="s">
        <v>118</v>
      </c>
      <c r="F21" s="23"/>
      <c r="G21" s="23"/>
      <c r="H21" s="10"/>
      <c r="I21" s="10"/>
    </row>
    <row r="22" ht="15.75" customHeight="1">
      <c r="A22" s="10" t="s">
        <v>863</v>
      </c>
      <c r="B22" s="10" t="s">
        <v>1139</v>
      </c>
      <c r="C22" s="10" t="s">
        <v>20</v>
      </c>
      <c r="D22" s="10"/>
      <c r="E22" s="10" t="s">
        <v>84</v>
      </c>
      <c r="F22" s="23"/>
      <c r="G22" s="23"/>
      <c r="H22" s="10"/>
      <c r="I22" s="10"/>
    </row>
    <row r="23" ht="15.75" customHeight="1">
      <c r="A23" s="10" t="s">
        <v>888</v>
      </c>
      <c r="B23" s="10" t="s">
        <v>1150</v>
      </c>
      <c r="C23" s="10" t="s">
        <v>64</v>
      </c>
      <c r="D23" s="10"/>
      <c r="E23" s="10" t="s">
        <v>101</v>
      </c>
      <c r="F23" s="23"/>
      <c r="G23" s="23"/>
      <c r="H23" s="10"/>
      <c r="I23" s="10"/>
    </row>
    <row r="24" ht="15.75" customHeight="1">
      <c r="A24" s="10" t="s">
        <v>914</v>
      </c>
      <c r="B24" s="10" t="s">
        <v>1160</v>
      </c>
      <c r="C24" s="10" t="s">
        <v>20</v>
      </c>
      <c r="D24" s="10"/>
      <c r="E24" s="10" t="s">
        <v>84</v>
      </c>
      <c r="F24" s="23"/>
      <c r="G24" s="23"/>
      <c r="H24" s="10"/>
      <c r="I24" s="10"/>
    </row>
    <row r="25" ht="15.75" customHeight="1">
      <c r="A25" s="10" t="s">
        <v>982</v>
      </c>
      <c r="B25" s="10" t="s">
        <v>459</v>
      </c>
      <c r="C25" s="10" t="s">
        <v>98</v>
      </c>
      <c r="D25" s="10"/>
      <c r="E25" s="10" t="s">
        <v>101</v>
      </c>
      <c r="F25" s="23"/>
      <c r="G25" s="23"/>
      <c r="H25" s="10"/>
      <c r="I25" s="10"/>
    </row>
    <row r="26" ht="15.75" customHeight="1">
      <c r="A26" s="10" t="s">
        <v>1007</v>
      </c>
      <c r="B26" s="10" t="s">
        <v>833</v>
      </c>
      <c r="C26" s="10" t="s">
        <v>42</v>
      </c>
      <c r="D26" s="10"/>
      <c r="E26" s="10" t="s">
        <v>118</v>
      </c>
      <c r="F26" s="23"/>
      <c r="G26" s="23"/>
      <c r="H26" s="10"/>
      <c r="I26" s="10"/>
    </row>
    <row r="27" ht="15.75" customHeight="1">
      <c r="A27" s="10" t="s">
        <v>1060</v>
      </c>
      <c r="B27" s="10" t="s">
        <v>1128</v>
      </c>
      <c r="C27" s="10" t="s">
        <v>20</v>
      </c>
      <c r="D27" s="10"/>
      <c r="E27" s="10" t="s">
        <v>101</v>
      </c>
      <c r="F27" s="23"/>
      <c r="G27" s="23"/>
      <c r="H27" s="10"/>
      <c r="I27" s="10"/>
    </row>
    <row r="28" ht="15.75" customHeight="1">
      <c r="A28" s="10" t="s">
        <v>1134</v>
      </c>
      <c r="B28" s="10" t="s">
        <v>459</v>
      </c>
      <c r="C28" s="10" t="s">
        <v>98</v>
      </c>
      <c r="D28" s="10"/>
      <c r="E28" s="10" t="s">
        <v>68</v>
      </c>
      <c r="F28" s="23"/>
      <c r="G28" s="23"/>
      <c r="H28" s="10"/>
      <c r="I28" s="10"/>
    </row>
    <row r="29" ht="15.75" customHeight="1">
      <c r="A29" s="10" t="s">
        <v>1165</v>
      </c>
      <c r="B29" s="10" t="s">
        <v>850</v>
      </c>
      <c r="C29" s="10" t="s">
        <v>64</v>
      </c>
      <c r="D29" s="10"/>
      <c r="E29" s="10" t="s">
        <v>118</v>
      </c>
      <c r="F29" s="23"/>
      <c r="G29" s="23"/>
      <c r="H29" s="10"/>
      <c r="I29" s="10"/>
    </row>
    <row r="30" ht="15.75" customHeight="1">
      <c r="A30" s="10" t="s">
        <v>1208</v>
      </c>
      <c r="B30" s="10" t="s">
        <v>816</v>
      </c>
      <c r="C30" s="10" t="s">
        <v>20</v>
      </c>
      <c r="D30" s="10"/>
      <c r="E30" s="10" t="s">
        <v>118</v>
      </c>
      <c r="F30" s="23"/>
      <c r="G30" s="23"/>
      <c r="H30" s="10"/>
      <c r="I30" s="10"/>
    </row>
    <row r="31" ht="15.75" customHeight="1">
      <c r="A31" s="10" t="s">
        <v>1211</v>
      </c>
      <c r="B31" s="10" t="s">
        <v>1212</v>
      </c>
      <c r="C31" s="10" t="s">
        <v>20</v>
      </c>
      <c r="D31" s="10"/>
      <c r="E31" s="10" t="s">
        <v>118</v>
      </c>
      <c r="F31" s="23"/>
      <c r="G31" s="23"/>
      <c r="H31" s="10"/>
      <c r="I31" s="10"/>
    </row>
    <row r="32" ht="15.75" customHeight="1">
      <c r="A32" s="10" t="s">
        <v>1216</v>
      </c>
      <c r="B32" s="10" t="s">
        <v>1218</v>
      </c>
      <c r="C32" s="10" t="s">
        <v>64</v>
      </c>
      <c r="D32" s="10"/>
      <c r="E32" s="10" t="s">
        <v>118</v>
      </c>
      <c r="F32" s="23"/>
      <c r="G32" s="23"/>
      <c r="H32" s="10"/>
      <c r="I32" s="10"/>
    </row>
    <row r="33" ht="15.75" customHeight="1">
      <c r="A33" s="10" t="s">
        <v>1219</v>
      </c>
      <c r="B33" s="10" t="s">
        <v>1220</v>
      </c>
      <c r="C33" s="10" t="s">
        <v>81</v>
      </c>
      <c r="D33" s="10"/>
      <c r="E33" s="10" t="s">
        <v>101</v>
      </c>
      <c r="F33" s="23"/>
      <c r="G33" s="23"/>
      <c r="H33" s="10"/>
      <c r="I33" s="10"/>
    </row>
    <row r="34" ht="15.75" customHeight="1">
      <c r="A34" s="10" t="s">
        <v>1224</v>
      </c>
      <c r="B34" s="10" t="s">
        <v>1169</v>
      </c>
      <c r="C34" s="10" t="s">
        <v>177</v>
      </c>
      <c r="D34" s="10"/>
      <c r="E34" s="10" t="s">
        <v>118</v>
      </c>
      <c r="F34" s="23"/>
      <c r="G34" s="23"/>
      <c r="H34" s="10"/>
      <c r="I34" s="10"/>
    </row>
    <row r="35" ht="15.75" customHeight="1">
      <c r="A35" s="10" t="s">
        <v>1226</v>
      </c>
      <c r="B35" s="10" t="s">
        <v>1006</v>
      </c>
      <c r="C35" s="10" t="s">
        <v>98</v>
      </c>
      <c r="D35" s="10"/>
      <c r="E35" s="10" t="s">
        <v>118</v>
      </c>
      <c r="F35" s="23"/>
      <c r="G35" s="23"/>
      <c r="H35" s="10"/>
      <c r="I35" s="10"/>
    </row>
    <row r="36" ht="15.75" customHeight="1">
      <c r="A36" s="10" t="s">
        <v>1230</v>
      </c>
      <c r="B36" s="10" t="s">
        <v>1231</v>
      </c>
      <c r="C36" s="10" t="s">
        <v>177</v>
      </c>
      <c r="D36" s="10"/>
      <c r="E36" s="10" t="s">
        <v>101</v>
      </c>
      <c r="F36" s="23"/>
      <c r="G36" s="23"/>
      <c r="H36" s="10"/>
      <c r="I36" s="10"/>
    </row>
    <row r="37" ht="15.75" customHeight="1">
      <c r="A37" s="10" t="s">
        <v>1234</v>
      </c>
      <c r="B37" s="10" t="s">
        <v>1235</v>
      </c>
      <c r="C37" s="10" t="s">
        <v>98</v>
      </c>
      <c r="D37" s="10"/>
      <c r="E37" s="10" t="s">
        <v>118</v>
      </c>
      <c r="F37" s="23"/>
      <c r="G37" s="23"/>
      <c r="H37" s="10"/>
      <c r="I37" s="10"/>
    </row>
    <row r="38" ht="15.75" customHeight="1">
      <c r="A38" s="10" t="s">
        <v>1239</v>
      </c>
      <c r="B38" s="10" t="s">
        <v>1240</v>
      </c>
      <c r="C38" s="10" t="s">
        <v>331</v>
      </c>
      <c r="D38" s="10"/>
      <c r="E38" s="10" t="s">
        <v>164</v>
      </c>
      <c r="F38" s="23"/>
      <c r="G38" s="23"/>
      <c r="H38" s="10"/>
      <c r="I38" s="10"/>
    </row>
    <row r="39" ht="15.75" customHeight="1">
      <c r="A39" s="10" t="s">
        <v>1242</v>
      </c>
      <c r="B39" s="10" t="s">
        <v>842</v>
      </c>
      <c r="C39" s="10" t="s">
        <v>98</v>
      </c>
      <c r="D39" s="10"/>
      <c r="E39" s="10" t="s">
        <v>118</v>
      </c>
      <c r="F39" s="23"/>
      <c r="G39" s="23"/>
      <c r="H39" s="10"/>
      <c r="I39" s="10"/>
    </row>
    <row r="40" ht="15.75" customHeight="1">
      <c r="A40" s="10" t="s">
        <v>1246</v>
      </c>
      <c r="B40" s="10" t="s">
        <v>1247</v>
      </c>
      <c r="C40" s="10" t="s">
        <v>209</v>
      </c>
      <c r="D40" s="10"/>
      <c r="E40" s="10" t="s">
        <v>84</v>
      </c>
      <c r="F40" s="23"/>
      <c r="G40" s="23"/>
      <c r="H40" s="10"/>
      <c r="I40" s="10"/>
    </row>
    <row r="41" ht="15.75" customHeight="1">
      <c r="A41" s="10" t="s">
        <v>1252</v>
      </c>
      <c r="B41" s="10" t="s">
        <v>1253</v>
      </c>
      <c r="C41" s="10" t="s">
        <v>252</v>
      </c>
      <c r="D41" s="10"/>
      <c r="E41" s="10" t="s">
        <v>118</v>
      </c>
      <c r="F41" s="23"/>
      <c r="G41" s="23"/>
      <c r="H41" s="10"/>
      <c r="I41" s="10"/>
    </row>
    <row r="42" ht="15.75" customHeight="1">
      <c r="A42" s="10" t="s">
        <v>1255</v>
      </c>
      <c r="B42" s="10" t="s">
        <v>1256</v>
      </c>
      <c r="C42" s="10"/>
      <c r="D42" s="10"/>
      <c r="E42" s="10" t="s">
        <v>1065</v>
      </c>
      <c r="F42" s="23"/>
      <c r="G42" s="23"/>
      <c r="H42" s="10"/>
      <c r="I42" s="10"/>
    </row>
    <row r="43" ht="15.75" customHeight="1">
      <c r="A43" s="10" t="s">
        <v>1255</v>
      </c>
      <c r="B43" s="10" t="s">
        <v>1258</v>
      </c>
      <c r="C43" s="10" t="s">
        <v>115</v>
      </c>
      <c r="D43" s="10"/>
      <c r="E43" s="10" t="s">
        <v>84</v>
      </c>
      <c r="F43" s="23"/>
      <c r="G43" s="23"/>
      <c r="H43" s="10"/>
      <c r="I43" s="10"/>
    </row>
    <row r="44" ht="15.75" customHeight="1">
      <c r="A44" s="10" t="s">
        <v>1263</v>
      </c>
      <c r="B44" s="10" t="s">
        <v>1264</v>
      </c>
      <c r="C44" s="10" t="s">
        <v>20</v>
      </c>
      <c r="D44" s="10"/>
      <c r="E44" s="10" t="s">
        <v>84</v>
      </c>
      <c r="F44" s="23"/>
      <c r="G44" s="23"/>
      <c r="H44" s="10"/>
      <c r="I44" s="10"/>
    </row>
    <row r="45" ht="15.75" customHeight="1">
      <c r="A45" s="10" t="s">
        <v>1268</v>
      </c>
      <c r="B45" s="10" t="s">
        <v>1269</v>
      </c>
      <c r="C45" s="10" t="s">
        <v>42</v>
      </c>
      <c r="D45" s="10"/>
      <c r="E45" s="10" t="s">
        <v>84</v>
      </c>
      <c r="F45" s="23"/>
      <c r="G45" s="23"/>
      <c r="H45" s="10"/>
      <c r="I45" s="10"/>
    </row>
    <row r="46" ht="15.75" customHeight="1">
      <c r="A46" s="10" t="s">
        <v>1274</v>
      </c>
      <c r="B46" s="10" t="s">
        <v>1275</v>
      </c>
      <c r="C46" s="10" t="s">
        <v>64</v>
      </c>
      <c r="D46" s="10"/>
      <c r="E46" s="10" t="s">
        <v>101</v>
      </c>
      <c r="F46" s="23"/>
      <c r="G46" s="23"/>
      <c r="H46" s="10"/>
      <c r="I46" s="10"/>
    </row>
    <row r="47" ht="15.75" customHeight="1">
      <c r="A47" s="10" t="s">
        <v>1279</v>
      </c>
      <c r="B47" s="10" t="s">
        <v>1280</v>
      </c>
      <c r="C47" s="10" t="s">
        <v>64</v>
      </c>
      <c r="D47" s="10"/>
      <c r="E47" s="10" t="s">
        <v>101</v>
      </c>
      <c r="F47" s="23"/>
      <c r="G47" s="23"/>
      <c r="H47" s="10"/>
      <c r="I47" s="10"/>
    </row>
    <row r="48" ht="15.75" customHeight="1">
      <c r="A48" s="10" t="s">
        <v>1283</v>
      </c>
      <c r="B48" s="10" t="s">
        <v>1285</v>
      </c>
      <c r="C48" s="10" t="s">
        <v>42</v>
      </c>
      <c r="D48" s="10"/>
      <c r="E48" s="10" t="s">
        <v>84</v>
      </c>
      <c r="F48" s="23"/>
      <c r="G48" s="23"/>
      <c r="H48" s="10"/>
      <c r="I48" s="10"/>
    </row>
    <row r="49" ht="15.75" customHeight="1">
      <c r="A49" s="10" t="s">
        <v>1287</v>
      </c>
      <c r="B49" s="10" t="s">
        <v>848</v>
      </c>
      <c r="C49" s="10" t="s">
        <v>81</v>
      </c>
      <c r="D49" s="10"/>
      <c r="E49" s="10" t="s">
        <v>118</v>
      </c>
      <c r="F49" s="23"/>
      <c r="G49" s="23"/>
      <c r="H49" s="10"/>
      <c r="I49" s="10"/>
    </row>
    <row r="50" ht="15.75" customHeight="1">
      <c r="A50" s="10" t="s">
        <v>1292</v>
      </c>
      <c r="B50" s="10" t="s">
        <v>1293</v>
      </c>
      <c r="C50" s="10" t="s">
        <v>64</v>
      </c>
      <c r="D50" s="10"/>
      <c r="E50" s="10" t="s">
        <v>101</v>
      </c>
      <c r="F50" s="23"/>
      <c r="G50" s="23"/>
      <c r="H50" s="10"/>
      <c r="I50" s="10"/>
    </row>
    <row r="51" ht="15.75" customHeight="1">
      <c r="A51" s="10" t="s">
        <v>1297</v>
      </c>
      <c r="B51" s="10" t="s">
        <v>1298</v>
      </c>
      <c r="C51" s="10" t="s">
        <v>81</v>
      </c>
      <c r="D51" s="10"/>
      <c r="E51" s="10" t="s">
        <v>101</v>
      </c>
      <c r="F51" s="23"/>
      <c r="G51" s="23"/>
      <c r="H51" s="10"/>
      <c r="I51" s="10"/>
    </row>
    <row r="52" ht="15.75" customHeight="1">
      <c r="A52" s="10" t="s">
        <v>1302</v>
      </c>
      <c r="B52" s="10" t="s">
        <v>1303</v>
      </c>
      <c r="C52" s="10" t="s">
        <v>81</v>
      </c>
      <c r="D52" s="10"/>
      <c r="E52" s="10" t="s">
        <v>84</v>
      </c>
      <c r="F52" s="23"/>
      <c r="G52" s="23"/>
      <c r="H52" s="10"/>
      <c r="I52" s="10"/>
    </row>
    <row r="53" ht="15.75" customHeight="1">
      <c r="A53" s="10" t="s">
        <v>1306</v>
      </c>
      <c r="B53" s="10" t="s">
        <v>1309</v>
      </c>
      <c r="C53" s="10" t="s">
        <v>42</v>
      </c>
      <c r="D53" s="10"/>
      <c r="E53" s="10" t="s">
        <v>118</v>
      </c>
      <c r="F53" s="23"/>
      <c r="G53" s="23"/>
      <c r="H53" s="10"/>
      <c r="I53" s="10"/>
    </row>
    <row r="54" ht="15.75" customHeight="1">
      <c r="A54" s="10" t="s">
        <v>1314</v>
      </c>
      <c r="B54" s="10" t="s">
        <v>848</v>
      </c>
      <c r="C54" s="10" t="s">
        <v>81</v>
      </c>
      <c r="D54" s="10"/>
      <c r="E54" s="10" t="s">
        <v>118</v>
      </c>
      <c r="F54" s="23"/>
      <c r="G54" s="23"/>
      <c r="H54" s="10"/>
      <c r="I54" s="10"/>
    </row>
    <row r="55" ht="15.75" customHeight="1">
      <c r="A55" s="10" t="s">
        <v>1318</v>
      </c>
      <c r="B55" s="10" t="s">
        <v>1269</v>
      </c>
      <c r="C55" s="10" t="s">
        <v>42</v>
      </c>
      <c r="D55" s="10"/>
      <c r="E55" s="10" t="s">
        <v>84</v>
      </c>
      <c r="F55" s="23"/>
      <c r="G55" s="23"/>
      <c r="H55" s="10"/>
      <c r="I55" s="10"/>
    </row>
    <row r="56" ht="15.75" customHeight="1">
      <c r="A56" s="10" t="s">
        <v>1321</v>
      </c>
      <c r="B56" s="10" t="s">
        <v>1322</v>
      </c>
      <c r="C56" s="10"/>
      <c r="D56" s="10"/>
      <c r="E56" s="10"/>
      <c r="F56" s="23"/>
      <c r="G56" s="23"/>
      <c r="H56" s="10"/>
      <c r="I56" s="10"/>
    </row>
    <row r="57" ht="15.75" customHeight="1">
      <c r="A57" s="10" t="s">
        <v>1321</v>
      </c>
      <c r="B57" s="10" t="s">
        <v>783</v>
      </c>
      <c r="C57" s="10"/>
      <c r="D57" s="10"/>
      <c r="E57" s="10"/>
      <c r="F57" s="23"/>
      <c r="G57" s="23"/>
      <c r="H57" s="10"/>
      <c r="I57" s="10"/>
    </row>
    <row r="58" ht="15.75" customHeight="1">
      <c r="A58" s="10" t="s">
        <v>1321</v>
      </c>
      <c r="B58" s="10" t="s">
        <v>1336</v>
      </c>
      <c r="C58" s="10"/>
      <c r="D58" s="10"/>
      <c r="E58" s="10"/>
      <c r="F58" s="23"/>
      <c r="G58" s="23"/>
      <c r="H58" s="10"/>
      <c r="I58" s="10"/>
    </row>
    <row r="59" ht="15.75" customHeight="1">
      <c r="A59" s="10" t="s">
        <v>1339</v>
      </c>
      <c r="B59" s="10" t="s">
        <v>1342</v>
      </c>
      <c r="C59" s="10" t="s">
        <v>209</v>
      </c>
      <c r="D59" s="10"/>
      <c r="E59" s="10" t="s">
        <v>84</v>
      </c>
      <c r="F59" s="23"/>
      <c r="G59" s="23"/>
      <c r="H59" s="10"/>
      <c r="I59" s="10"/>
    </row>
    <row r="60" ht="15.75" customHeight="1">
      <c r="A60" s="10" t="s">
        <v>1348</v>
      </c>
      <c r="B60" s="10" t="s">
        <v>1218</v>
      </c>
      <c r="C60" s="10" t="s">
        <v>64</v>
      </c>
      <c r="D60" s="10"/>
      <c r="E60" s="10" t="s">
        <v>118</v>
      </c>
      <c r="F60" s="23"/>
      <c r="G60" s="23"/>
      <c r="H60" s="10"/>
      <c r="I60" s="10"/>
    </row>
    <row r="61" ht="15.75" customHeight="1">
      <c r="A61" s="10" t="s">
        <v>1353</v>
      </c>
      <c r="B61" s="10" t="s">
        <v>833</v>
      </c>
      <c r="C61" s="10" t="s">
        <v>42</v>
      </c>
      <c r="D61" s="10"/>
      <c r="E61" s="10" t="s">
        <v>101</v>
      </c>
      <c r="F61" s="23"/>
      <c r="G61" s="23"/>
      <c r="H61" s="10"/>
      <c r="I61" s="10"/>
    </row>
    <row r="62" ht="15.75" customHeight="1">
      <c r="A62" s="10" t="s">
        <v>1358</v>
      </c>
      <c r="B62" s="10" t="s">
        <v>1322</v>
      </c>
      <c r="C62" s="10"/>
      <c r="D62" s="10"/>
      <c r="E62" s="10"/>
      <c r="F62" s="23"/>
      <c r="G62" s="23"/>
      <c r="H62" s="10"/>
      <c r="I62" s="10"/>
    </row>
    <row r="63" ht="15.75" customHeight="1">
      <c r="A63" s="10" t="s">
        <v>1358</v>
      </c>
      <c r="B63" s="10" t="s">
        <v>783</v>
      </c>
      <c r="C63" s="10"/>
      <c r="D63" s="10"/>
      <c r="E63" s="10"/>
      <c r="F63" s="23"/>
      <c r="G63" s="23"/>
      <c r="H63" s="10"/>
      <c r="I63" s="10"/>
    </row>
    <row r="64" ht="15.75" customHeight="1">
      <c r="A64" s="10" t="s">
        <v>1358</v>
      </c>
      <c r="B64" s="10" t="s">
        <v>1336</v>
      </c>
      <c r="C64" s="10"/>
      <c r="D64" s="10"/>
      <c r="E64" s="10"/>
      <c r="F64" s="23"/>
      <c r="G64" s="23"/>
      <c r="H64" s="10"/>
      <c r="I64" s="10"/>
    </row>
    <row r="65" ht="15.75" customHeight="1">
      <c r="A65" s="10" t="s">
        <v>1358</v>
      </c>
      <c r="B65" s="10" t="s">
        <v>1376</v>
      </c>
      <c r="C65" s="10" t="s">
        <v>98</v>
      </c>
      <c r="D65" s="10"/>
      <c r="E65" s="10" t="s">
        <v>101</v>
      </c>
      <c r="F65" s="23"/>
      <c r="G65" s="23"/>
      <c r="H65" s="10"/>
      <c r="I65" s="10"/>
    </row>
    <row r="66" ht="15.75" customHeight="1">
      <c r="A66" s="10" t="s">
        <v>1384</v>
      </c>
      <c r="B66" s="10" t="s">
        <v>828</v>
      </c>
      <c r="C66" s="10" t="s">
        <v>42</v>
      </c>
      <c r="D66" s="10"/>
      <c r="E66" s="10" t="s">
        <v>118</v>
      </c>
      <c r="F66" s="23"/>
      <c r="G66" s="23"/>
      <c r="H66" s="10"/>
      <c r="I66" s="10"/>
    </row>
    <row r="67" ht="15.75" customHeight="1">
      <c r="A67" s="10" t="s">
        <v>1392</v>
      </c>
      <c r="B67" s="10" t="s">
        <v>1395</v>
      </c>
      <c r="C67" s="10" t="s">
        <v>64</v>
      </c>
      <c r="D67" s="10"/>
      <c r="E67" s="10" t="s">
        <v>84</v>
      </c>
      <c r="F67" s="23"/>
      <c r="G67" s="23"/>
      <c r="H67" s="10"/>
      <c r="I67" s="10"/>
    </row>
    <row r="68" ht="15.75" customHeight="1">
      <c r="A68" s="10" t="s">
        <v>1403</v>
      </c>
      <c r="B68" s="10" t="s">
        <v>1406</v>
      </c>
      <c r="C68" s="10" t="s">
        <v>42</v>
      </c>
      <c r="D68" s="10"/>
      <c r="E68" s="10" t="s">
        <v>84</v>
      </c>
      <c r="F68" s="23"/>
      <c r="G68" s="23"/>
      <c r="H68" s="10"/>
      <c r="I68" s="10"/>
    </row>
    <row r="69" ht="15.75" customHeight="1">
      <c r="A69" s="10" t="s">
        <v>1412</v>
      </c>
      <c r="B69" s="10" t="s">
        <v>1413</v>
      </c>
      <c r="C69" s="10" t="s">
        <v>81</v>
      </c>
      <c r="D69" s="10"/>
      <c r="E69" s="10" t="s">
        <v>118</v>
      </c>
      <c r="F69" s="23"/>
      <c r="G69" s="23"/>
      <c r="H69" s="10"/>
      <c r="I69" s="10"/>
    </row>
    <row r="70" ht="15.75" customHeight="1">
      <c r="A70" s="10" t="s">
        <v>1416</v>
      </c>
      <c r="B70" s="10" t="s">
        <v>1418</v>
      </c>
      <c r="C70" s="10" t="s">
        <v>42</v>
      </c>
      <c r="D70" s="10"/>
      <c r="E70" s="10" t="s">
        <v>118</v>
      </c>
      <c r="F70" s="23"/>
      <c r="G70" s="23"/>
      <c r="H70" s="10"/>
      <c r="I70" s="10"/>
    </row>
    <row r="71" ht="15.75" customHeight="1">
      <c r="A71" s="10" t="s">
        <v>1420</v>
      </c>
      <c r="B71" s="10" t="s">
        <v>1413</v>
      </c>
      <c r="C71" s="10" t="s">
        <v>81</v>
      </c>
      <c r="D71" s="10"/>
      <c r="E71" s="10" t="s">
        <v>118</v>
      </c>
      <c r="F71" s="23"/>
      <c r="G71" s="23"/>
      <c r="H71" s="10"/>
      <c r="I71" s="10"/>
    </row>
    <row r="72" ht="15.75" customHeight="1">
      <c r="A72" s="10" t="s">
        <v>1423</v>
      </c>
      <c r="B72" s="10" t="s">
        <v>1426</v>
      </c>
      <c r="C72" s="10" t="s">
        <v>81</v>
      </c>
      <c r="D72" s="10"/>
      <c r="E72" s="10" t="s">
        <v>84</v>
      </c>
      <c r="F72" s="23"/>
      <c r="G72" s="23"/>
      <c r="H72" s="10"/>
      <c r="I72" s="10"/>
    </row>
    <row r="73" ht="15.75" customHeight="1">
      <c r="A73" s="10" t="s">
        <v>1432</v>
      </c>
      <c r="B73" s="10" t="s">
        <v>838</v>
      </c>
      <c r="C73" s="10" t="s">
        <v>42</v>
      </c>
      <c r="D73" s="10"/>
      <c r="E73" s="10" t="s">
        <v>118</v>
      </c>
      <c r="F73" s="23"/>
      <c r="G73" s="23"/>
      <c r="H73" s="10"/>
      <c r="I73" s="10"/>
    </row>
    <row r="74" ht="15.75" customHeight="1">
      <c r="A74" s="10" t="s">
        <v>1436</v>
      </c>
      <c r="B74" s="10" t="s">
        <v>839</v>
      </c>
      <c r="C74" s="10" t="s">
        <v>81</v>
      </c>
      <c r="D74" s="10"/>
      <c r="E74" s="10" t="s">
        <v>118</v>
      </c>
      <c r="F74" s="23"/>
      <c r="G74" s="23"/>
      <c r="H74" s="10"/>
      <c r="I74" s="10"/>
    </row>
    <row r="75" ht="15.75" customHeight="1">
      <c r="A75" s="10" t="s">
        <v>1437</v>
      </c>
      <c r="B75" s="10" t="s">
        <v>1438</v>
      </c>
      <c r="C75" s="10" t="s">
        <v>42</v>
      </c>
      <c r="D75" s="10"/>
      <c r="E75" s="10" t="s">
        <v>118</v>
      </c>
      <c r="F75" s="23"/>
      <c r="G75" s="23"/>
      <c r="H75" s="10"/>
      <c r="I75" s="10"/>
    </row>
    <row r="76" ht="15.75" customHeight="1">
      <c r="A76" s="10" t="s">
        <v>1441</v>
      </c>
      <c r="B76" s="10" t="s">
        <v>1269</v>
      </c>
      <c r="C76" s="10" t="s">
        <v>42</v>
      </c>
      <c r="D76" s="10"/>
      <c r="E76" s="10" t="s">
        <v>84</v>
      </c>
      <c r="F76" s="23"/>
      <c r="G76" s="23"/>
      <c r="H76" s="10"/>
      <c r="I76" s="10"/>
    </row>
    <row r="77" ht="15.75" customHeight="1">
      <c r="A77" s="10"/>
      <c r="B77" s="10"/>
      <c r="C77" s="10"/>
      <c r="D77" s="10"/>
      <c r="E77" s="10"/>
      <c r="F77" s="23"/>
      <c r="G77" s="23"/>
      <c r="H77" s="10"/>
      <c r="I77" s="10"/>
    </row>
    <row r="78" ht="15.75" customHeight="1">
      <c r="A78" s="10"/>
      <c r="B78" s="10"/>
      <c r="C78" s="10"/>
      <c r="D78" s="10"/>
      <c r="E78" s="10"/>
      <c r="F78" s="23"/>
      <c r="G78" s="23"/>
      <c r="H78" s="10"/>
      <c r="I78" s="10"/>
    </row>
    <row r="79" ht="15.75" customHeight="1">
      <c r="A79" s="10"/>
      <c r="B79" s="10"/>
      <c r="C79" s="10"/>
      <c r="D79" s="10"/>
      <c r="E79" s="10"/>
      <c r="F79" s="23"/>
      <c r="G79" s="23"/>
      <c r="H79" s="10"/>
      <c r="I79" s="10"/>
    </row>
    <row r="80" ht="15.75" customHeight="1">
      <c r="A80" s="10"/>
      <c r="B80" s="10"/>
      <c r="C80" s="10"/>
      <c r="D80" s="10"/>
      <c r="E80" s="10"/>
      <c r="F80" s="23"/>
      <c r="G80" s="23"/>
      <c r="H80" s="10"/>
      <c r="I80" s="10"/>
    </row>
    <row r="81" ht="15.75" customHeight="1">
      <c r="A81" s="10"/>
      <c r="B81" s="10"/>
      <c r="C81" s="10"/>
      <c r="D81" s="10"/>
      <c r="E81" s="10"/>
      <c r="F81" s="23"/>
      <c r="G81" s="23"/>
      <c r="H81" s="10"/>
      <c r="I81" s="10"/>
    </row>
    <row r="82" ht="15.75" customHeight="1">
      <c r="A82" s="10"/>
      <c r="B82" s="10"/>
      <c r="C82" s="10"/>
      <c r="D82" s="10"/>
      <c r="E82" s="10"/>
      <c r="F82" s="23"/>
      <c r="G82" s="23"/>
      <c r="H82" s="10"/>
      <c r="I82" s="10"/>
    </row>
    <row r="83" ht="15.75" customHeight="1">
      <c r="A83" s="10"/>
      <c r="B83" s="10"/>
      <c r="C83" s="10"/>
      <c r="D83" s="10"/>
      <c r="E83" s="10"/>
      <c r="F83" s="23"/>
      <c r="G83" s="23"/>
      <c r="H83" s="10"/>
      <c r="I83" s="10"/>
    </row>
    <row r="84" ht="15.75" customHeight="1">
      <c r="A84" s="10"/>
      <c r="B84" s="10"/>
      <c r="C84" s="10"/>
      <c r="D84" s="10"/>
      <c r="E84" s="10"/>
      <c r="F84" s="23"/>
      <c r="G84" s="23"/>
      <c r="H84" s="10"/>
      <c r="I84" s="10"/>
    </row>
    <row r="85" ht="15.75" customHeight="1">
      <c r="A85" s="10"/>
      <c r="B85" s="10"/>
      <c r="C85" s="10"/>
      <c r="D85" s="10"/>
      <c r="E85" s="10"/>
      <c r="F85" s="23"/>
      <c r="G85" s="23"/>
      <c r="H85" s="10"/>
      <c r="I85" s="10"/>
    </row>
    <row r="86" ht="15.75" customHeight="1">
      <c r="A86" s="10"/>
      <c r="B86" s="10"/>
      <c r="C86" s="10"/>
      <c r="D86" s="10"/>
      <c r="E86" s="10"/>
      <c r="F86" s="23"/>
      <c r="G86" s="23"/>
      <c r="H86" s="10"/>
      <c r="I86" s="10"/>
    </row>
    <row r="87" ht="15.75" customHeight="1">
      <c r="A87" s="10"/>
      <c r="B87" s="10"/>
      <c r="C87" s="10"/>
      <c r="D87" s="10"/>
      <c r="E87" s="10"/>
      <c r="F87" s="23"/>
      <c r="G87" s="23"/>
      <c r="H87" s="10"/>
      <c r="I87" s="10"/>
    </row>
    <row r="88" ht="15.75" customHeight="1">
      <c r="A88" s="10"/>
      <c r="B88" s="10"/>
      <c r="C88" s="10"/>
      <c r="D88" s="10"/>
      <c r="E88" s="10"/>
      <c r="F88" s="23"/>
      <c r="G88" s="23"/>
      <c r="H88" s="10"/>
      <c r="I88" s="10"/>
    </row>
    <row r="89" ht="15.75" customHeight="1">
      <c r="A89" s="10"/>
      <c r="B89" s="10"/>
      <c r="C89" s="10"/>
      <c r="D89" s="10"/>
      <c r="E89" s="10"/>
      <c r="F89" s="23"/>
      <c r="G89" s="23"/>
      <c r="H89" s="10"/>
      <c r="I89" s="10"/>
    </row>
    <row r="90" ht="15.75" customHeight="1">
      <c r="A90" s="10"/>
      <c r="B90" s="10"/>
      <c r="C90" s="10"/>
      <c r="D90" s="10"/>
      <c r="E90" s="10"/>
      <c r="F90" s="23"/>
      <c r="G90" s="23"/>
      <c r="H90" s="10"/>
      <c r="I90" s="10"/>
    </row>
    <row r="91" ht="15.75" customHeight="1">
      <c r="A91" s="10"/>
      <c r="B91" s="10"/>
      <c r="C91" s="10"/>
      <c r="D91" s="10"/>
      <c r="E91" s="10"/>
      <c r="F91" s="23"/>
      <c r="G91" s="23"/>
      <c r="H91" s="10"/>
      <c r="I91" s="10"/>
    </row>
    <row r="92" ht="15.75" customHeight="1">
      <c r="A92" s="10"/>
      <c r="B92" s="10"/>
      <c r="C92" s="10"/>
      <c r="D92" s="10"/>
      <c r="E92" s="10"/>
      <c r="F92" s="23"/>
      <c r="G92" s="23"/>
      <c r="H92" s="10"/>
      <c r="I92" s="10"/>
    </row>
    <row r="93" ht="15.75" customHeight="1">
      <c r="A93" s="10"/>
      <c r="B93" s="10"/>
      <c r="C93" s="10"/>
      <c r="D93" s="10"/>
      <c r="E93" s="10"/>
      <c r="F93" s="23"/>
      <c r="G93" s="23"/>
      <c r="H93" s="10"/>
      <c r="I93" s="10"/>
    </row>
    <row r="94" ht="15.75" customHeight="1">
      <c r="A94" s="10"/>
      <c r="B94" s="10"/>
      <c r="C94" s="10"/>
      <c r="D94" s="10"/>
      <c r="E94" s="10"/>
      <c r="F94" s="23"/>
      <c r="G94" s="23"/>
      <c r="H94" s="10"/>
      <c r="I94" s="10"/>
    </row>
    <row r="95" ht="15.75" customHeight="1">
      <c r="A95" s="10"/>
      <c r="B95" s="10"/>
      <c r="C95" s="10"/>
      <c r="D95" s="10"/>
      <c r="E95" s="10"/>
      <c r="F95" s="23"/>
      <c r="G95" s="23"/>
      <c r="H95" s="10"/>
      <c r="I95" s="10"/>
    </row>
    <row r="96" ht="15.75" customHeight="1">
      <c r="A96" s="10"/>
      <c r="B96" s="10"/>
      <c r="C96" s="10"/>
      <c r="D96" s="10"/>
      <c r="E96" s="10"/>
      <c r="F96" s="23"/>
      <c r="G96" s="23"/>
      <c r="H96" s="10"/>
      <c r="I96" s="10"/>
    </row>
    <row r="97" ht="15.75" customHeight="1">
      <c r="A97" s="10"/>
      <c r="B97" s="10"/>
      <c r="C97" s="10"/>
      <c r="D97" s="10"/>
      <c r="E97" s="10"/>
      <c r="F97" s="23"/>
      <c r="G97" s="23"/>
      <c r="H97" s="10"/>
      <c r="I97" s="10"/>
    </row>
    <row r="98" ht="15.75" customHeight="1">
      <c r="A98" s="10"/>
      <c r="B98" s="10"/>
      <c r="C98" s="10"/>
      <c r="D98" s="10"/>
      <c r="E98" s="10"/>
      <c r="F98" s="23"/>
      <c r="G98" s="23"/>
      <c r="H98" s="10"/>
      <c r="I98" s="10"/>
    </row>
    <row r="99" ht="15.75" customHeight="1">
      <c r="A99" s="10"/>
      <c r="B99" s="10"/>
      <c r="C99" s="10"/>
      <c r="D99" s="10"/>
      <c r="E99" s="10"/>
      <c r="F99" s="23"/>
      <c r="G99" s="23"/>
      <c r="H99" s="10"/>
      <c r="I99" s="10"/>
    </row>
    <row r="100" ht="15.75" customHeight="1">
      <c r="A100" s="10"/>
      <c r="B100" s="10"/>
      <c r="C100" s="10"/>
      <c r="D100" s="10"/>
      <c r="E100" s="10"/>
      <c r="F100" s="23"/>
      <c r="G100" s="23"/>
      <c r="H100" s="10"/>
      <c r="I100" s="10"/>
    </row>
    <row r="101" ht="15.75" customHeight="1">
      <c r="A101" s="10"/>
      <c r="B101" s="10"/>
      <c r="C101" s="10"/>
      <c r="D101" s="10"/>
      <c r="E101" s="10"/>
      <c r="F101" s="23"/>
      <c r="G101" s="23"/>
      <c r="H101" s="10"/>
      <c r="I101" s="10"/>
    </row>
    <row r="102" ht="15.75" customHeight="1">
      <c r="A102" s="10"/>
      <c r="B102" s="10"/>
      <c r="C102" s="10"/>
      <c r="D102" s="10"/>
      <c r="E102" s="10"/>
      <c r="F102" s="23"/>
      <c r="G102" s="23"/>
      <c r="H102" s="10"/>
      <c r="I102" s="10"/>
    </row>
    <row r="103" ht="15.75" customHeight="1">
      <c r="A103" s="10"/>
      <c r="B103" s="10"/>
      <c r="C103" s="10"/>
      <c r="D103" s="10"/>
      <c r="E103" s="10"/>
      <c r="F103" s="23"/>
      <c r="G103" s="23"/>
      <c r="H103" s="10"/>
      <c r="I103" s="10"/>
    </row>
    <row r="104" ht="15.75" customHeight="1">
      <c r="A104" s="10"/>
      <c r="B104" s="10"/>
      <c r="C104" s="10"/>
      <c r="D104" s="10"/>
      <c r="E104" s="10"/>
      <c r="F104" s="23"/>
      <c r="G104" s="23"/>
      <c r="H104" s="10"/>
      <c r="I104" s="10"/>
    </row>
    <row r="105" ht="15.75" customHeight="1">
      <c r="A105" s="10"/>
      <c r="B105" s="10"/>
      <c r="C105" s="10"/>
      <c r="D105" s="10"/>
      <c r="E105" s="10"/>
      <c r="F105" s="23"/>
      <c r="G105" s="23"/>
      <c r="H105" s="10"/>
      <c r="I105" s="10"/>
    </row>
    <row r="106" ht="15.75" customHeight="1">
      <c r="A106" s="10"/>
      <c r="B106" s="10"/>
      <c r="C106" s="10"/>
      <c r="D106" s="10"/>
      <c r="E106" s="10"/>
      <c r="F106" s="23"/>
      <c r="G106" s="23"/>
      <c r="H106" s="10"/>
      <c r="I106" s="10"/>
    </row>
    <row r="107" ht="15.75" customHeight="1">
      <c r="A107" s="10"/>
      <c r="B107" s="10"/>
      <c r="C107" s="10"/>
      <c r="D107" s="10"/>
      <c r="E107" s="10"/>
      <c r="F107" s="23"/>
      <c r="G107" s="23"/>
      <c r="H107" s="10"/>
      <c r="I107" s="10"/>
    </row>
    <row r="108" ht="15.75" customHeight="1">
      <c r="A108" s="10"/>
      <c r="B108" s="10"/>
      <c r="C108" s="10"/>
      <c r="D108" s="10"/>
      <c r="E108" s="10"/>
      <c r="F108" s="23"/>
      <c r="G108" s="23"/>
      <c r="H108" s="10"/>
      <c r="I108" s="10"/>
    </row>
    <row r="109" ht="15.75" customHeight="1">
      <c r="A109" s="10"/>
      <c r="B109" s="10"/>
      <c r="C109" s="10"/>
      <c r="D109" s="10"/>
      <c r="E109" s="10"/>
      <c r="F109" s="23"/>
      <c r="G109" s="23"/>
      <c r="H109" s="10"/>
      <c r="I109" s="10"/>
    </row>
    <row r="110" ht="15.75" customHeight="1">
      <c r="A110" s="10"/>
      <c r="B110" s="10"/>
      <c r="C110" s="10"/>
      <c r="D110" s="10"/>
      <c r="E110" s="10"/>
      <c r="F110" s="23"/>
      <c r="G110" s="23"/>
      <c r="H110" s="10"/>
      <c r="I110" s="10"/>
    </row>
    <row r="111" ht="15.75" customHeight="1">
      <c r="A111" s="10"/>
      <c r="B111" s="10"/>
      <c r="C111" s="10"/>
      <c r="D111" s="10"/>
      <c r="E111" s="10"/>
      <c r="F111" s="23"/>
      <c r="G111" s="23"/>
      <c r="H111" s="10"/>
      <c r="I111" s="10"/>
    </row>
    <row r="112" ht="15.75" customHeight="1">
      <c r="A112" s="10"/>
      <c r="B112" s="10"/>
      <c r="C112" s="10"/>
      <c r="D112" s="10"/>
      <c r="E112" s="10"/>
      <c r="F112" s="23"/>
      <c r="G112" s="23"/>
      <c r="H112" s="10"/>
      <c r="I112" s="10"/>
    </row>
    <row r="113" ht="15.75" customHeight="1">
      <c r="A113" s="10"/>
      <c r="B113" s="10"/>
      <c r="C113" s="10"/>
      <c r="D113" s="10"/>
      <c r="E113" s="10"/>
      <c r="F113" s="23"/>
      <c r="G113" s="23"/>
      <c r="H113" s="10"/>
      <c r="I113" s="10"/>
    </row>
    <row r="114" ht="15.75" customHeight="1">
      <c r="A114" s="10"/>
      <c r="B114" s="10"/>
      <c r="C114" s="10"/>
      <c r="D114" s="10"/>
      <c r="E114" s="10"/>
      <c r="F114" s="23"/>
      <c r="G114" s="23"/>
      <c r="H114" s="10"/>
      <c r="I114" s="10"/>
    </row>
    <row r="115" ht="15.75" customHeight="1">
      <c r="A115" s="10"/>
      <c r="B115" s="10"/>
      <c r="C115" s="10"/>
      <c r="D115" s="10"/>
      <c r="E115" s="10"/>
      <c r="F115" s="23"/>
      <c r="G115" s="23"/>
      <c r="H115" s="10"/>
      <c r="I115" s="10"/>
    </row>
    <row r="116" ht="15.75" customHeight="1">
      <c r="A116" s="10"/>
      <c r="B116" s="10"/>
      <c r="C116" s="10"/>
      <c r="D116" s="10"/>
      <c r="E116" s="10"/>
      <c r="F116" s="23"/>
      <c r="G116" s="23"/>
      <c r="H116" s="10"/>
      <c r="I116" s="10"/>
    </row>
    <row r="117" ht="15.75" customHeight="1">
      <c r="A117" s="10"/>
      <c r="B117" s="10"/>
      <c r="C117" s="10"/>
      <c r="D117" s="10"/>
      <c r="E117" s="10"/>
      <c r="F117" s="23"/>
      <c r="G117" s="23"/>
      <c r="H117" s="10"/>
      <c r="I117" s="10"/>
    </row>
    <row r="118" ht="15.75" customHeight="1">
      <c r="A118" s="10"/>
      <c r="B118" s="10"/>
      <c r="C118" s="10"/>
      <c r="D118" s="10"/>
      <c r="E118" s="10"/>
      <c r="F118" s="23"/>
      <c r="G118" s="23"/>
      <c r="H118" s="10"/>
      <c r="I118" s="10"/>
    </row>
    <row r="119" ht="15.75" customHeight="1">
      <c r="A119" s="10"/>
      <c r="B119" s="10"/>
      <c r="C119" s="10"/>
      <c r="D119" s="10"/>
      <c r="E119" s="10"/>
      <c r="F119" s="23"/>
      <c r="G119" s="23"/>
      <c r="H119" s="10"/>
      <c r="I119" s="10"/>
    </row>
    <row r="120" ht="15.75" customHeight="1">
      <c r="A120" s="10"/>
      <c r="B120" s="10"/>
      <c r="C120" s="10"/>
      <c r="D120" s="10"/>
      <c r="E120" s="10"/>
      <c r="F120" s="23"/>
      <c r="G120" s="23"/>
      <c r="H120" s="10"/>
      <c r="I120" s="10"/>
    </row>
    <row r="121" ht="15.75" customHeight="1">
      <c r="A121" s="10"/>
      <c r="B121" s="10"/>
      <c r="C121" s="10"/>
      <c r="D121" s="10"/>
      <c r="E121" s="10"/>
      <c r="F121" s="23"/>
      <c r="G121" s="23"/>
      <c r="H121" s="10"/>
      <c r="I121" s="10"/>
    </row>
    <row r="122" ht="15.75" customHeight="1">
      <c r="A122" s="10"/>
      <c r="B122" s="10"/>
      <c r="C122" s="10"/>
      <c r="D122" s="10"/>
      <c r="E122" s="10"/>
      <c r="F122" s="23"/>
      <c r="G122" s="23"/>
      <c r="H122" s="10"/>
      <c r="I122" s="10"/>
    </row>
    <row r="123" ht="15.75" customHeight="1">
      <c r="A123" s="10"/>
      <c r="B123" s="10"/>
      <c r="C123" s="10"/>
      <c r="D123" s="10"/>
      <c r="E123" s="10"/>
      <c r="F123" s="23"/>
      <c r="G123" s="23"/>
      <c r="H123" s="10"/>
      <c r="I123" s="10"/>
    </row>
    <row r="124" ht="15.75" customHeight="1">
      <c r="A124" s="10"/>
      <c r="B124" s="10"/>
      <c r="C124" s="10"/>
      <c r="D124" s="10"/>
      <c r="E124" s="10"/>
      <c r="F124" s="23"/>
      <c r="G124" s="23"/>
      <c r="H124" s="10"/>
      <c r="I124" s="10"/>
    </row>
    <row r="125" ht="15.75" customHeight="1">
      <c r="A125" s="10"/>
      <c r="B125" s="10"/>
      <c r="C125" s="10"/>
      <c r="D125" s="10"/>
      <c r="E125" s="10"/>
      <c r="F125" s="23"/>
      <c r="G125" s="23"/>
      <c r="H125" s="10"/>
      <c r="I125" s="10"/>
    </row>
    <row r="126" ht="15.75" customHeight="1">
      <c r="A126" s="10"/>
      <c r="B126" s="10"/>
      <c r="C126" s="10"/>
      <c r="D126" s="10"/>
      <c r="E126" s="10"/>
      <c r="F126" s="23"/>
      <c r="G126" s="23"/>
      <c r="H126" s="10"/>
      <c r="I126" s="10"/>
    </row>
    <row r="127" ht="15.75" customHeight="1">
      <c r="A127" s="10"/>
      <c r="B127" s="10"/>
      <c r="C127" s="10"/>
      <c r="D127" s="10"/>
      <c r="E127" s="10"/>
      <c r="F127" s="23"/>
      <c r="G127" s="23"/>
      <c r="H127" s="10"/>
      <c r="I127" s="10"/>
    </row>
    <row r="128" ht="15.75" customHeight="1">
      <c r="A128" s="10"/>
      <c r="B128" s="10"/>
      <c r="C128" s="10"/>
      <c r="D128" s="10"/>
      <c r="E128" s="10"/>
      <c r="F128" s="23"/>
      <c r="G128" s="23"/>
      <c r="H128" s="10"/>
      <c r="I128" s="10"/>
    </row>
    <row r="129" ht="15.75" customHeight="1">
      <c r="A129" s="10"/>
      <c r="B129" s="10"/>
      <c r="C129" s="10"/>
      <c r="D129" s="10"/>
      <c r="E129" s="10"/>
      <c r="F129" s="23"/>
      <c r="G129" s="23"/>
      <c r="H129" s="10"/>
      <c r="I129" s="10"/>
    </row>
    <row r="130" ht="15.75" customHeight="1">
      <c r="A130" s="10"/>
      <c r="B130" s="10"/>
      <c r="C130" s="10"/>
      <c r="D130" s="10"/>
      <c r="E130" s="10"/>
      <c r="F130" s="23"/>
      <c r="G130" s="23"/>
      <c r="H130" s="10"/>
      <c r="I130" s="10"/>
    </row>
    <row r="131" ht="15.75" customHeight="1">
      <c r="A131" s="10"/>
      <c r="B131" s="10"/>
      <c r="C131" s="10"/>
      <c r="D131" s="10"/>
      <c r="E131" s="10"/>
      <c r="F131" s="23"/>
      <c r="G131" s="23"/>
      <c r="H131" s="10"/>
      <c r="I131" s="10"/>
    </row>
    <row r="132" ht="15.75" customHeight="1">
      <c r="A132" s="10"/>
      <c r="B132" s="10"/>
      <c r="C132" s="10"/>
      <c r="D132" s="10"/>
      <c r="E132" s="10"/>
      <c r="F132" s="23"/>
      <c r="G132" s="23"/>
      <c r="H132" s="10"/>
      <c r="I132" s="10"/>
    </row>
    <row r="133" ht="15.75" customHeight="1">
      <c r="A133" s="10"/>
      <c r="B133" s="10"/>
      <c r="C133" s="10"/>
      <c r="D133" s="10"/>
      <c r="E133" s="10"/>
      <c r="F133" s="23"/>
      <c r="G133" s="23"/>
      <c r="H133" s="10"/>
      <c r="I133" s="10"/>
    </row>
    <row r="134" ht="15.75" customHeight="1">
      <c r="A134" s="10"/>
      <c r="B134" s="10"/>
      <c r="C134" s="10"/>
      <c r="D134" s="10"/>
      <c r="E134" s="10"/>
      <c r="F134" s="23"/>
      <c r="G134" s="23"/>
      <c r="H134" s="10"/>
      <c r="I134" s="10"/>
    </row>
    <row r="135" ht="15.75" customHeight="1">
      <c r="A135" s="10"/>
      <c r="B135" s="10"/>
      <c r="C135" s="10"/>
      <c r="D135" s="10"/>
      <c r="E135" s="10"/>
      <c r="F135" s="23"/>
      <c r="G135" s="23"/>
      <c r="H135" s="10"/>
      <c r="I135" s="10"/>
    </row>
    <row r="136" ht="15.75" customHeight="1">
      <c r="A136" s="10"/>
      <c r="B136" s="10"/>
      <c r="C136" s="10"/>
      <c r="D136" s="10"/>
      <c r="E136" s="10"/>
      <c r="F136" s="23"/>
      <c r="G136" s="23"/>
      <c r="H136" s="10"/>
      <c r="I136" s="10"/>
    </row>
    <row r="137" ht="15.75" customHeight="1">
      <c r="A137" s="10"/>
      <c r="B137" s="10"/>
      <c r="C137" s="10"/>
      <c r="D137" s="10"/>
      <c r="E137" s="10"/>
      <c r="F137" s="23"/>
      <c r="G137" s="23"/>
      <c r="H137" s="10"/>
      <c r="I137" s="10"/>
    </row>
    <row r="138" ht="15.75" customHeight="1">
      <c r="A138" s="10"/>
      <c r="B138" s="10"/>
      <c r="C138" s="10"/>
      <c r="D138" s="10"/>
      <c r="E138" s="10"/>
      <c r="F138" s="23"/>
      <c r="G138" s="23"/>
      <c r="H138" s="10"/>
      <c r="I138" s="10"/>
    </row>
    <row r="139" ht="15.75" customHeight="1">
      <c r="A139" s="10"/>
      <c r="B139" s="10"/>
      <c r="C139" s="10"/>
      <c r="D139" s="10"/>
      <c r="E139" s="10"/>
      <c r="F139" s="23"/>
      <c r="G139" s="23"/>
      <c r="H139" s="10"/>
      <c r="I139" s="10"/>
    </row>
    <row r="140" ht="15.75" customHeight="1">
      <c r="A140" s="10"/>
      <c r="B140" s="10"/>
      <c r="C140" s="10"/>
      <c r="D140" s="10"/>
      <c r="E140" s="10"/>
      <c r="F140" s="23"/>
      <c r="G140" s="23"/>
      <c r="H140" s="10"/>
      <c r="I140" s="10"/>
    </row>
    <row r="141" ht="15.75" customHeight="1">
      <c r="A141" s="10"/>
      <c r="B141" s="10"/>
      <c r="C141" s="10"/>
      <c r="D141" s="10"/>
      <c r="E141" s="10"/>
      <c r="F141" s="23"/>
      <c r="G141" s="23"/>
      <c r="H141" s="10"/>
      <c r="I141" s="10"/>
    </row>
    <row r="142" ht="15.75" customHeight="1">
      <c r="A142" s="10"/>
      <c r="B142" s="10"/>
      <c r="C142" s="10"/>
      <c r="D142" s="10"/>
      <c r="E142" s="10"/>
      <c r="F142" s="23"/>
      <c r="G142" s="23"/>
      <c r="H142" s="10"/>
      <c r="I142" s="10"/>
    </row>
    <row r="143" ht="15.75" customHeight="1">
      <c r="A143" s="10"/>
      <c r="B143" s="10"/>
      <c r="C143" s="10"/>
      <c r="D143" s="10"/>
      <c r="E143" s="10"/>
      <c r="F143" s="23"/>
      <c r="G143" s="23"/>
      <c r="H143" s="10"/>
      <c r="I143" s="10"/>
    </row>
    <row r="144" ht="15.75" customHeight="1">
      <c r="A144" s="10"/>
      <c r="B144" s="10"/>
      <c r="C144" s="10"/>
      <c r="D144" s="10"/>
      <c r="E144" s="10"/>
      <c r="F144" s="23"/>
      <c r="G144" s="23"/>
      <c r="H144" s="10"/>
      <c r="I144" s="10"/>
    </row>
    <row r="145" ht="15.75" customHeight="1">
      <c r="A145" s="10"/>
      <c r="B145" s="10"/>
      <c r="C145" s="10"/>
      <c r="D145" s="10"/>
      <c r="E145" s="10"/>
      <c r="F145" s="23"/>
      <c r="G145" s="23"/>
      <c r="H145" s="10"/>
      <c r="I145" s="10"/>
    </row>
    <row r="146" ht="15.75" customHeight="1">
      <c r="A146" s="10"/>
      <c r="B146" s="10"/>
      <c r="C146" s="10"/>
      <c r="D146" s="10"/>
      <c r="E146" s="10"/>
      <c r="F146" s="23"/>
      <c r="G146" s="23"/>
      <c r="H146" s="10"/>
      <c r="I146" s="10"/>
    </row>
    <row r="147" ht="15.75" customHeight="1">
      <c r="A147" s="10"/>
      <c r="B147" s="10"/>
      <c r="C147" s="10"/>
      <c r="D147" s="10"/>
      <c r="E147" s="10"/>
      <c r="F147" s="23"/>
      <c r="G147" s="23"/>
      <c r="H147" s="10"/>
      <c r="I147" s="10"/>
    </row>
    <row r="148" ht="15.75" customHeight="1">
      <c r="A148" s="10"/>
      <c r="B148" s="10"/>
      <c r="C148" s="10"/>
      <c r="D148" s="10"/>
      <c r="E148" s="10"/>
      <c r="F148" s="23"/>
      <c r="G148" s="23"/>
      <c r="H148" s="10"/>
      <c r="I148" s="10"/>
    </row>
    <row r="149" ht="15.75" customHeight="1">
      <c r="A149" s="10"/>
      <c r="B149" s="10"/>
      <c r="C149" s="10"/>
      <c r="D149" s="10"/>
      <c r="E149" s="10"/>
      <c r="F149" s="23"/>
      <c r="G149" s="23"/>
      <c r="H149" s="10"/>
      <c r="I149" s="10"/>
    </row>
    <row r="150" ht="15.75" customHeight="1">
      <c r="A150" s="10"/>
      <c r="B150" s="10"/>
      <c r="C150" s="10"/>
      <c r="D150" s="10"/>
      <c r="E150" s="10"/>
      <c r="F150" s="23"/>
      <c r="G150" s="23"/>
      <c r="H150" s="10"/>
      <c r="I150" s="10"/>
    </row>
    <row r="151" ht="15.75" customHeight="1">
      <c r="A151" s="10"/>
      <c r="B151" s="10"/>
      <c r="C151" s="10"/>
      <c r="D151" s="10"/>
      <c r="E151" s="10"/>
      <c r="F151" s="23"/>
      <c r="G151" s="23"/>
      <c r="H151" s="10"/>
      <c r="I151" s="10"/>
    </row>
    <row r="152" ht="15.75" customHeight="1">
      <c r="A152" s="10"/>
      <c r="B152" s="10"/>
      <c r="C152" s="10"/>
      <c r="D152" s="10"/>
      <c r="E152" s="10"/>
      <c r="F152" s="23"/>
      <c r="G152" s="23"/>
      <c r="H152" s="10"/>
      <c r="I152" s="10"/>
    </row>
    <row r="153" ht="15.75" customHeight="1">
      <c r="A153" s="10"/>
      <c r="B153" s="10"/>
      <c r="C153" s="10"/>
      <c r="D153" s="10"/>
      <c r="E153" s="10"/>
      <c r="F153" s="23"/>
      <c r="G153" s="23"/>
      <c r="H153" s="10"/>
      <c r="I153" s="10"/>
    </row>
    <row r="154" ht="15.75" customHeight="1">
      <c r="A154" s="10"/>
      <c r="B154" s="10"/>
      <c r="C154" s="10"/>
      <c r="D154" s="10"/>
      <c r="E154" s="10"/>
      <c r="F154" s="23"/>
      <c r="G154" s="23"/>
      <c r="H154" s="10"/>
      <c r="I154" s="10"/>
    </row>
    <row r="155" ht="15.75" customHeight="1">
      <c r="A155" s="10"/>
      <c r="B155" s="10"/>
      <c r="C155" s="10"/>
      <c r="D155" s="10"/>
      <c r="E155" s="10"/>
      <c r="F155" s="23"/>
      <c r="G155" s="23"/>
      <c r="H155" s="10"/>
      <c r="I155" s="10"/>
    </row>
    <row r="156" ht="15.75" customHeight="1">
      <c r="A156" s="10"/>
      <c r="B156" s="10"/>
      <c r="C156" s="10"/>
      <c r="D156" s="10"/>
      <c r="E156" s="10"/>
      <c r="F156" s="23"/>
      <c r="G156" s="23"/>
      <c r="H156" s="10"/>
      <c r="I156" s="10"/>
    </row>
    <row r="157" ht="15.75" customHeight="1">
      <c r="A157" s="10"/>
      <c r="B157" s="10"/>
      <c r="C157" s="10"/>
      <c r="D157" s="10"/>
      <c r="E157" s="10"/>
      <c r="F157" s="23"/>
      <c r="G157" s="23"/>
      <c r="H157" s="10"/>
      <c r="I157" s="10"/>
    </row>
    <row r="158" ht="15.75" customHeight="1">
      <c r="A158" s="10"/>
      <c r="B158" s="10"/>
      <c r="C158" s="10"/>
      <c r="D158" s="10"/>
      <c r="E158" s="10"/>
      <c r="F158" s="23"/>
      <c r="G158" s="23"/>
      <c r="H158" s="10"/>
      <c r="I158" s="10"/>
    </row>
    <row r="159" ht="15.75" customHeight="1">
      <c r="A159" s="10"/>
      <c r="B159" s="10"/>
      <c r="C159" s="10"/>
      <c r="D159" s="10"/>
      <c r="E159" s="10"/>
      <c r="F159" s="23"/>
      <c r="G159" s="23"/>
      <c r="H159" s="10"/>
      <c r="I159" s="10"/>
    </row>
    <row r="160" ht="15.75" customHeight="1">
      <c r="A160" s="10"/>
      <c r="B160" s="10"/>
      <c r="C160" s="10"/>
      <c r="D160" s="10"/>
      <c r="E160" s="10"/>
      <c r="F160" s="23"/>
      <c r="G160" s="23"/>
      <c r="H160" s="10"/>
      <c r="I160" s="10"/>
    </row>
    <row r="161" ht="15.75" customHeight="1">
      <c r="A161" s="10"/>
      <c r="B161" s="10"/>
      <c r="C161" s="10"/>
      <c r="D161" s="10"/>
      <c r="E161" s="10"/>
      <c r="F161" s="23"/>
      <c r="G161" s="23"/>
      <c r="H161" s="10"/>
      <c r="I161" s="10"/>
    </row>
    <row r="162" ht="15.75" customHeight="1">
      <c r="A162" s="10"/>
      <c r="B162" s="10"/>
      <c r="C162" s="10"/>
      <c r="D162" s="10"/>
      <c r="E162" s="10"/>
      <c r="F162" s="23"/>
      <c r="G162" s="23"/>
      <c r="H162" s="10"/>
      <c r="I162" s="10"/>
    </row>
    <row r="163" ht="15.75" customHeight="1">
      <c r="A163" s="10"/>
      <c r="B163" s="10"/>
      <c r="C163" s="10"/>
      <c r="D163" s="10"/>
      <c r="E163" s="10"/>
      <c r="F163" s="23"/>
      <c r="G163" s="23"/>
      <c r="H163" s="10"/>
      <c r="I163" s="10"/>
    </row>
    <row r="164" ht="15.75" customHeight="1">
      <c r="A164" s="10"/>
      <c r="B164" s="10"/>
      <c r="C164" s="10"/>
      <c r="D164" s="10"/>
      <c r="E164" s="10"/>
      <c r="F164" s="23"/>
      <c r="G164" s="23"/>
      <c r="H164" s="10"/>
      <c r="I164" s="10"/>
    </row>
    <row r="165" ht="15.75" customHeight="1">
      <c r="A165" s="10"/>
      <c r="B165" s="10"/>
      <c r="C165" s="10"/>
      <c r="D165" s="10"/>
      <c r="E165" s="10"/>
      <c r="F165" s="23"/>
      <c r="G165" s="23"/>
      <c r="H165" s="10"/>
      <c r="I165" s="10"/>
    </row>
    <row r="166" ht="15.75" customHeight="1">
      <c r="A166" s="10"/>
      <c r="B166" s="10"/>
      <c r="C166" s="10"/>
      <c r="D166" s="10"/>
      <c r="E166" s="10"/>
      <c r="F166" s="23"/>
      <c r="G166" s="23"/>
      <c r="H166" s="10"/>
      <c r="I166" s="10"/>
    </row>
    <row r="167" ht="15.75" customHeight="1">
      <c r="A167" s="10"/>
      <c r="B167" s="10"/>
      <c r="C167" s="10"/>
      <c r="D167" s="10"/>
      <c r="E167" s="10"/>
      <c r="F167" s="23"/>
      <c r="G167" s="23"/>
      <c r="H167" s="10"/>
      <c r="I167" s="10"/>
    </row>
    <row r="168" ht="15.75" customHeight="1">
      <c r="A168" s="10"/>
      <c r="B168" s="10"/>
      <c r="C168" s="10"/>
      <c r="D168" s="10"/>
      <c r="E168" s="10"/>
      <c r="F168" s="23"/>
      <c r="G168" s="23"/>
      <c r="H168" s="10"/>
      <c r="I168" s="10"/>
    </row>
    <row r="169" ht="15.75" customHeight="1">
      <c r="A169" s="10"/>
      <c r="B169" s="10"/>
      <c r="C169" s="10"/>
      <c r="D169" s="10"/>
      <c r="E169" s="10"/>
      <c r="F169" s="23"/>
      <c r="G169" s="23"/>
      <c r="H169" s="10"/>
      <c r="I169" s="10"/>
    </row>
    <row r="170" ht="15.75" customHeight="1">
      <c r="A170" s="10"/>
      <c r="B170" s="10"/>
      <c r="C170" s="10"/>
      <c r="D170" s="10"/>
      <c r="E170" s="10"/>
      <c r="F170" s="23"/>
      <c r="G170" s="23"/>
      <c r="H170" s="10"/>
      <c r="I170" s="10"/>
    </row>
    <row r="171" ht="15.75" customHeight="1">
      <c r="A171" s="10"/>
      <c r="B171" s="10"/>
      <c r="C171" s="10"/>
      <c r="D171" s="10"/>
      <c r="E171" s="10"/>
      <c r="F171" s="23"/>
      <c r="G171" s="23"/>
      <c r="H171" s="10"/>
      <c r="I171" s="10"/>
    </row>
    <row r="172" ht="15.75" customHeight="1">
      <c r="A172" s="10"/>
      <c r="B172" s="10"/>
      <c r="C172" s="10"/>
      <c r="D172" s="10"/>
      <c r="E172" s="10"/>
      <c r="F172" s="23"/>
      <c r="G172" s="23"/>
      <c r="H172" s="10"/>
      <c r="I172" s="10"/>
    </row>
    <row r="173" ht="15.75" customHeight="1">
      <c r="A173" s="10"/>
      <c r="B173" s="10"/>
      <c r="C173" s="10"/>
      <c r="D173" s="10"/>
      <c r="E173" s="10"/>
      <c r="F173" s="23"/>
      <c r="G173" s="23"/>
      <c r="H173" s="10"/>
      <c r="I173" s="10"/>
    </row>
    <row r="174" ht="15.75" customHeight="1">
      <c r="A174" s="10"/>
      <c r="B174" s="10"/>
      <c r="C174" s="10"/>
      <c r="D174" s="10"/>
      <c r="E174" s="10"/>
      <c r="F174" s="23"/>
      <c r="G174" s="23"/>
      <c r="H174" s="10"/>
      <c r="I174" s="10"/>
    </row>
    <row r="175" ht="15.75" customHeight="1">
      <c r="A175" s="10"/>
      <c r="B175" s="10"/>
      <c r="C175" s="10"/>
      <c r="D175" s="10"/>
      <c r="E175" s="10"/>
      <c r="F175" s="23"/>
      <c r="G175" s="23"/>
      <c r="H175" s="10"/>
      <c r="I175" s="10"/>
    </row>
    <row r="176" ht="15.75" customHeight="1">
      <c r="A176" s="10"/>
      <c r="B176" s="10"/>
      <c r="C176" s="10"/>
      <c r="D176" s="10"/>
      <c r="E176" s="10"/>
      <c r="F176" s="23"/>
      <c r="G176" s="23"/>
      <c r="H176" s="10"/>
      <c r="I176" s="10"/>
    </row>
    <row r="177" ht="15.75" customHeight="1">
      <c r="A177" s="10"/>
      <c r="B177" s="10"/>
      <c r="C177" s="10"/>
      <c r="D177" s="10"/>
      <c r="E177" s="10"/>
      <c r="F177" s="23"/>
      <c r="G177" s="23"/>
      <c r="H177" s="10"/>
      <c r="I177" s="10"/>
    </row>
    <row r="178" ht="15.75" customHeight="1">
      <c r="A178" s="10"/>
      <c r="B178" s="10"/>
      <c r="C178" s="10"/>
      <c r="D178" s="10"/>
      <c r="E178" s="10"/>
      <c r="F178" s="23"/>
      <c r="G178" s="23"/>
      <c r="H178" s="10"/>
      <c r="I178" s="10"/>
    </row>
    <row r="179" ht="15.75" customHeight="1">
      <c r="A179" s="10"/>
      <c r="B179" s="10"/>
      <c r="C179" s="10"/>
      <c r="D179" s="10"/>
      <c r="E179" s="10"/>
      <c r="F179" s="23"/>
      <c r="G179" s="23"/>
      <c r="H179" s="10"/>
      <c r="I179" s="10"/>
    </row>
    <row r="180" ht="15.75" customHeight="1">
      <c r="A180" s="10"/>
      <c r="B180" s="10"/>
      <c r="C180" s="10"/>
      <c r="D180" s="10"/>
      <c r="E180" s="10"/>
      <c r="F180" s="23"/>
      <c r="G180" s="23"/>
      <c r="H180" s="10"/>
      <c r="I180" s="10"/>
    </row>
    <row r="181" ht="15.75" customHeight="1">
      <c r="A181" s="10"/>
      <c r="B181" s="10"/>
      <c r="C181" s="10"/>
      <c r="D181" s="10"/>
      <c r="E181" s="10"/>
      <c r="F181" s="23"/>
      <c r="G181" s="23"/>
      <c r="H181" s="10"/>
      <c r="I181" s="10"/>
    </row>
    <row r="182" ht="15.75" customHeight="1">
      <c r="A182" s="10"/>
      <c r="B182" s="10"/>
      <c r="C182" s="10"/>
      <c r="D182" s="10"/>
      <c r="E182" s="10"/>
      <c r="F182" s="23"/>
      <c r="G182" s="23"/>
      <c r="H182" s="10"/>
      <c r="I182" s="10"/>
    </row>
    <row r="183" ht="15.75" customHeight="1">
      <c r="A183" s="10"/>
      <c r="B183" s="10"/>
      <c r="C183" s="10"/>
      <c r="D183" s="10"/>
      <c r="E183" s="10"/>
      <c r="F183" s="23"/>
      <c r="G183" s="23"/>
      <c r="H183" s="10"/>
      <c r="I183" s="10"/>
    </row>
    <row r="184" ht="15.75" customHeight="1">
      <c r="A184" s="10"/>
      <c r="B184" s="10"/>
      <c r="C184" s="10"/>
      <c r="D184" s="10"/>
      <c r="E184" s="10"/>
      <c r="F184" s="23"/>
      <c r="G184" s="23"/>
      <c r="H184" s="10"/>
      <c r="I184" s="10"/>
    </row>
    <row r="185" ht="15.75" customHeight="1">
      <c r="A185" s="10"/>
      <c r="B185" s="10"/>
      <c r="C185" s="10"/>
      <c r="D185" s="10"/>
      <c r="E185" s="10"/>
      <c r="F185" s="23"/>
      <c r="G185" s="23"/>
      <c r="H185" s="10"/>
      <c r="I185" s="10"/>
    </row>
    <row r="186" ht="15.75" customHeight="1">
      <c r="A186" s="10"/>
      <c r="B186" s="10"/>
      <c r="C186" s="10"/>
      <c r="D186" s="10"/>
      <c r="E186" s="10"/>
      <c r="F186" s="23"/>
      <c r="G186" s="23"/>
      <c r="H186" s="10"/>
      <c r="I186" s="10"/>
    </row>
    <row r="187" ht="15.75" customHeight="1">
      <c r="A187" s="10"/>
      <c r="B187" s="10"/>
      <c r="C187" s="10"/>
      <c r="D187" s="10"/>
      <c r="E187" s="10"/>
      <c r="F187" s="23"/>
      <c r="G187" s="23"/>
      <c r="H187" s="10"/>
      <c r="I187" s="10"/>
    </row>
    <row r="188" ht="15.75" customHeight="1">
      <c r="A188" s="10"/>
      <c r="B188" s="10"/>
      <c r="C188" s="10"/>
      <c r="D188" s="10"/>
      <c r="E188" s="10"/>
      <c r="F188" s="23"/>
      <c r="G188" s="23"/>
      <c r="H188" s="10"/>
      <c r="I188" s="10"/>
    </row>
    <row r="189" ht="15.75" customHeight="1">
      <c r="A189" s="10"/>
      <c r="B189" s="10"/>
      <c r="C189" s="10"/>
      <c r="D189" s="10"/>
      <c r="E189" s="10"/>
      <c r="F189" s="23"/>
      <c r="G189" s="23"/>
      <c r="H189" s="10"/>
      <c r="I189" s="10"/>
    </row>
    <row r="190" ht="15.75" customHeight="1">
      <c r="A190" s="10"/>
      <c r="B190" s="10"/>
      <c r="C190" s="10"/>
      <c r="D190" s="10"/>
      <c r="E190" s="10"/>
      <c r="F190" s="23"/>
      <c r="G190" s="23"/>
      <c r="H190" s="10"/>
      <c r="I190" s="10"/>
    </row>
    <row r="191" ht="15.75" customHeight="1">
      <c r="A191" s="10"/>
      <c r="B191" s="10"/>
      <c r="C191" s="10"/>
      <c r="D191" s="10"/>
      <c r="E191" s="10"/>
      <c r="F191" s="23"/>
      <c r="G191" s="23"/>
      <c r="H191" s="10"/>
      <c r="I191" s="10"/>
    </row>
    <row r="192" ht="15.75" customHeight="1">
      <c r="A192" s="10"/>
      <c r="B192" s="10"/>
      <c r="C192" s="10"/>
      <c r="D192" s="10"/>
      <c r="E192" s="10"/>
      <c r="F192" s="23"/>
      <c r="G192" s="23"/>
      <c r="H192" s="10"/>
      <c r="I192" s="10"/>
    </row>
    <row r="193" ht="15.75" customHeight="1">
      <c r="A193" s="10"/>
      <c r="B193" s="10"/>
      <c r="C193" s="10"/>
      <c r="D193" s="10"/>
      <c r="E193" s="10"/>
      <c r="F193" s="23"/>
      <c r="G193" s="23"/>
      <c r="H193" s="10"/>
      <c r="I193" s="10"/>
    </row>
    <row r="194" ht="15.75" customHeight="1">
      <c r="A194" s="10"/>
      <c r="B194" s="10"/>
      <c r="C194" s="10"/>
      <c r="D194" s="10"/>
      <c r="E194" s="10"/>
      <c r="F194" s="23"/>
      <c r="G194" s="23"/>
      <c r="H194" s="10"/>
      <c r="I194" s="10"/>
    </row>
    <row r="195" ht="15.75" customHeight="1">
      <c r="A195" s="10"/>
      <c r="B195" s="10"/>
      <c r="C195" s="10"/>
      <c r="D195" s="10"/>
      <c r="E195" s="10"/>
      <c r="F195" s="23"/>
      <c r="G195" s="23"/>
      <c r="H195" s="10"/>
      <c r="I195" s="10"/>
    </row>
    <row r="196" ht="15.75" customHeight="1">
      <c r="A196" s="10"/>
      <c r="B196" s="10"/>
      <c r="C196" s="10"/>
      <c r="D196" s="10"/>
      <c r="E196" s="10"/>
      <c r="F196" s="23"/>
      <c r="G196" s="23"/>
      <c r="H196" s="10"/>
      <c r="I196" s="10"/>
    </row>
    <row r="197" ht="15.75" customHeight="1">
      <c r="A197" s="10"/>
      <c r="B197" s="10"/>
      <c r="C197" s="10"/>
      <c r="D197" s="10"/>
      <c r="E197" s="10"/>
      <c r="F197" s="23"/>
      <c r="G197" s="23"/>
      <c r="H197" s="10"/>
      <c r="I197" s="10"/>
    </row>
    <row r="198" ht="15.75" customHeight="1">
      <c r="A198" s="10"/>
      <c r="B198" s="10"/>
      <c r="C198" s="10"/>
      <c r="D198" s="10"/>
      <c r="E198" s="10"/>
      <c r="F198" s="23"/>
      <c r="G198" s="23"/>
      <c r="H198" s="10"/>
      <c r="I198" s="10"/>
    </row>
    <row r="199" ht="15.75" customHeight="1">
      <c r="A199" s="10"/>
      <c r="B199" s="10"/>
      <c r="C199" s="10"/>
      <c r="D199" s="10"/>
      <c r="E199" s="10"/>
      <c r="F199" s="23"/>
      <c r="G199" s="23"/>
      <c r="H199" s="10"/>
      <c r="I199" s="10"/>
    </row>
    <row r="200" ht="15.75" customHeight="1">
      <c r="A200" s="10"/>
      <c r="B200" s="10"/>
      <c r="C200" s="10"/>
      <c r="D200" s="10"/>
      <c r="E200" s="10"/>
      <c r="F200" s="23"/>
      <c r="G200" s="23"/>
      <c r="H200" s="10"/>
      <c r="I200" s="10"/>
    </row>
    <row r="201" ht="15.75" customHeight="1">
      <c r="A201" s="10"/>
      <c r="B201" s="10"/>
      <c r="C201" s="10"/>
      <c r="D201" s="10"/>
      <c r="E201" s="10"/>
      <c r="F201" s="23"/>
      <c r="G201" s="23"/>
      <c r="H201" s="10"/>
      <c r="I201" s="10"/>
    </row>
    <row r="202" ht="15.75" customHeight="1">
      <c r="A202" s="10"/>
      <c r="B202" s="10"/>
      <c r="C202" s="10"/>
      <c r="D202" s="10"/>
      <c r="E202" s="10"/>
      <c r="F202" s="23"/>
      <c r="G202" s="23"/>
      <c r="H202" s="10"/>
      <c r="I202" s="10"/>
    </row>
    <row r="203" ht="15.75" customHeight="1">
      <c r="A203" s="10"/>
      <c r="B203" s="10"/>
      <c r="C203" s="10"/>
      <c r="D203" s="10"/>
      <c r="E203" s="10"/>
      <c r="F203" s="23"/>
      <c r="G203" s="23"/>
      <c r="H203" s="10"/>
      <c r="I203" s="10"/>
    </row>
    <row r="204" ht="15.75" customHeight="1">
      <c r="A204" s="10"/>
      <c r="B204" s="10"/>
      <c r="C204" s="10"/>
      <c r="D204" s="10"/>
      <c r="E204" s="10"/>
      <c r="F204" s="23"/>
      <c r="G204" s="23"/>
      <c r="H204" s="10"/>
      <c r="I204" s="10"/>
    </row>
    <row r="205" ht="15.75" customHeight="1">
      <c r="A205" s="10"/>
      <c r="B205" s="10"/>
      <c r="C205" s="10"/>
      <c r="D205" s="10"/>
      <c r="E205" s="10"/>
      <c r="F205" s="23"/>
      <c r="G205" s="23"/>
      <c r="H205" s="10"/>
      <c r="I205" s="10"/>
    </row>
    <row r="206" ht="15.75" customHeight="1">
      <c r="A206" s="10"/>
      <c r="B206" s="10"/>
      <c r="C206" s="10"/>
      <c r="D206" s="10"/>
      <c r="E206" s="10"/>
      <c r="F206" s="23"/>
      <c r="G206" s="23"/>
      <c r="H206" s="10"/>
      <c r="I206" s="10"/>
    </row>
    <row r="207" ht="15.75" customHeight="1">
      <c r="A207" s="10"/>
      <c r="B207" s="10"/>
      <c r="C207" s="10"/>
      <c r="D207" s="10"/>
      <c r="E207" s="10"/>
      <c r="F207" s="23"/>
      <c r="G207" s="23"/>
      <c r="H207" s="10"/>
      <c r="I207" s="10"/>
    </row>
    <row r="208" ht="15.75" customHeight="1">
      <c r="A208" s="10"/>
      <c r="B208" s="10"/>
      <c r="C208" s="10"/>
      <c r="D208" s="10"/>
      <c r="E208" s="10"/>
      <c r="F208" s="23"/>
      <c r="G208" s="23"/>
      <c r="H208" s="10"/>
      <c r="I208" s="10"/>
    </row>
    <row r="209" ht="15.75" customHeight="1">
      <c r="A209" s="10"/>
      <c r="B209" s="10"/>
      <c r="C209" s="10"/>
      <c r="D209" s="10"/>
      <c r="E209" s="10"/>
      <c r="F209" s="23"/>
      <c r="G209" s="23"/>
      <c r="H209" s="10"/>
      <c r="I209" s="10"/>
    </row>
    <row r="210" ht="15.75" customHeight="1">
      <c r="A210" s="10"/>
      <c r="B210" s="10"/>
      <c r="C210" s="10"/>
      <c r="D210" s="10"/>
      <c r="E210" s="10"/>
      <c r="F210" s="23"/>
      <c r="G210" s="23"/>
      <c r="H210" s="10"/>
      <c r="I210" s="10"/>
    </row>
    <row r="211" ht="15.75" customHeight="1">
      <c r="A211" s="10"/>
      <c r="B211" s="10"/>
      <c r="C211" s="10"/>
      <c r="D211" s="10"/>
      <c r="E211" s="10"/>
      <c r="F211" s="23"/>
      <c r="G211" s="23"/>
      <c r="H211" s="10"/>
      <c r="I211" s="10"/>
    </row>
    <row r="212" ht="15.75" customHeight="1">
      <c r="A212" s="10"/>
      <c r="B212" s="10"/>
      <c r="C212" s="10"/>
      <c r="D212" s="10"/>
      <c r="E212" s="10"/>
      <c r="F212" s="23"/>
      <c r="G212" s="23"/>
      <c r="H212" s="10"/>
      <c r="I212" s="10"/>
    </row>
    <row r="213" ht="15.75" customHeight="1">
      <c r="A213" s="10"/>
      <c r="B213" s="10"/>
      <c r="C213" s="10"/>
      <c r="D213" s="10"/>
      <c r="E213" s="10"/>
      <c r="F213" s="23"/>
      <c r="G213" s="23"/>
      <c r="H213" s="10"/>
      <c r="I213" s="10"/>
    </row>
    <row r="214" ht="15.75" customHeight="1">
      <c r="A214" s="10"/>
      <c r="B214" s="10"/>
      <c r="C214" s="10"/>
      <c r="D214" s="10"/>
      <c r="E214" s="10"/>
      <c r="F214" s="23"/>
      <c r="G214" s="23"/>
      <c r="H214" s="10"/>
      <c r="I214" s="10"/>
    </row>
    <row r="215" ht="15.75" customHeight="1">
      <c r="A215" s="10"/>
      <c r="B215" s="10"/>
      <c r="C215" s="10"/>
      <c r="D215" s="10"/>
      <c r="E215" s="10"/>
      <c r="F215" s="23"/>
      <c r="G215" s="23"/>
      <c r="H215" s="10"/>
      <c r="I215" s="10"/>
    </row>
    <row r="216" ht="15.75" customHeight="1">
      <c r="A216" s="10"/>
      <c r="B216" s="10"/>
      <c r="C216" s="10"/>
      <c r="D216" s="10"/>
      <c r="E216" s="10"/>
      <c r="F216" s="23"/>
      <c r="G216" s="23"/>
      <c r="H216" s="10"/>
      <c r="I216" s="10"/>
    </row>
    <row r="217" ht="15.75" customHeight="1">
      <c r="A217" s="10"/>
      <c r="B217" s="10"/>
      <c r="C217" s="10"/>
      <c r="D217" s="10"/>
      <c r="E217" s="10"/>
      <c r="F217" s="23"/>
      <c r="G217" s="23"/>
      <c r="H217" s="10"/>
      <c r="I217" s="10"/>
    </row>
    <row r="218" ht="15.75" customHeight="1">
      <c r="A218" s="10"/>
      <c r="B218" s="10"/>
      <c r="C218" s="10"/>
      <c r="D218" s="10"/>
      <c r="E218" s="10"/>
      <c r="F218" s="23"/>
      <c r="G218" s="23"/>
      <c r="H218" s="10"/>
      <c r="I218" s="10"/>
    </row>
    <row r="219" ht="15.75" customHeight="1">
      <c r="A219" s="10"/>
      <c r="B219" s="10"/>
      <c r="C219" s="10"/>
      <c r="D219" s="10"/>
      <c r="E219" s="10"/>
      <c r="F219" s="23"/>
      <c r="G219" s="23"/>
      <c r="H219" s="10"/>
      <c r="I219" s="10"/>
    </row>
    <row r="220" ht="15.75" customHeight="1">
      <c r="A220" s="10"/>
      <c r="B220" s="10"/>
      <c r="C220" s="10"/>
      <c r="D220" s="10"/>
      <c r="E220" s="10"/>
      <c r="F220" s="23"/>
      <c r="G220" s="23"/>
      <c r="H220" s="10"/>
      <c r="I220" s="10"/>
    </row>
    <row r="221" ht="15.75" customHeight="1">
      <c r="A221" s="10"/>
      <c r="B221" s="10"/>
      <c r="C221" s="10"/>
      <c r="D221" s="10"/>
      <c r="E221" s="10"/>
      <c r="F221" s="23"/>
      <c r="G221" s="23"/>
      <c r="H221" s="10"/>
      <c r="I221" s="10"/>
    </row>
    <row r="222" ht="15.75" customHeight="1">
      <c r="A222" s="10"/>
      <c r="B222" s="10"/>
      <c r="C222" s="10"/>
      <c r="D222" s="10"/>
      <c r="E222" s="10"/>
      <c r="F222" s="23"/>
      <c r="G222" s="23"/>
      <c r="H222" s="10"/>
      <c r="I222" s="10"/>
    </row>
    <row r="223" ht="15.75" customHeight="1">
      <c r="A223" s="10"/>
      <c r="B223" s="10"/>
      <c r="C223" s="10"/>
      <c r="D223" s="10"/>
      <c r="E223" s="10"/>
      <c r="F223" s="23"/>
      <c r="G223" s="23"/>
      <c r="H223" s="10"/>
      <c r="I223" s="10"/>
    </row>
    <row r="224" ht="15.75" customHeight="1">
      <c r="A224" s="10"/>
      <c r="B224" s="10"/>
      <c r="C224" s="10"/>
      <c r="D224" s="10"/>
      <c r="E224" s="10"/>
      <c r="F224" s="23"/>
      <c r="G224" s="23"/>
      <c r="H224" s="10"/>
      <c r="I224" s="10"/>
    </row>
    <row r="225" ht="15.75" customHeight="1">
      <c r="A225" s="10"/>
      <c r="B225" s="10"/>
      <c r="C225" s="10"/>
      <c r="D225" s="10"/>
      <c r="E225" s="10"/>
      <c r="F225" s="23"/>
      <c r="G225" s="23"/>
      <c r="H225" s="10"/>
      <c r="I225" s="10"/>
    </row>
    <row r="226" ht="15.75" customHeight="1">
      <c r="A226" s="10"/>
      <c r="B226" s="10"/>
      <c r="C226" s="10"/>
      <c r="D226" s="10"/>
      <c r="E226" s="10"/>
      <c r="F226" s="23"/>
      <c r="G226" s="23"/>
      <c r="H226" s="10"/>
      <c r="I226" s="10"/>
    </row>
    <row r="227" ht="15.75" customHeight="1">
      <c r="A227" s="10"/>
      <c r="B227" s="10"/>
      <c r="C227" s="10"/>
      <c r="D227" s="10"/>
      <c r="E227" s="10"/>
      <c r="F227" s="23"/>
      <c r="G227" s="23"/>
      <c r="H227" s="10"/>
      <c r="I227" s="10"/>
    </row>
    <row r="228" ht="15.75" customHeight="1">
      <c r="A228" s="10"/>
      <c r="B228" s="10"/>
      <c r="C228" s="10"/>
      <c r="D228" s="10"/>
      <c r="E228" s="10"/>
      <c r="F228" s="23"/>
      <c r="G228" s="23"/>
      <c r="H228" s="10"/>
      <c r="I228" s="10"/>
    </row>
    <row r="229" ht="15.75" customHeight="1">
      <c r="A229" s="10"/>
      <c r="B229" s="10"/>
      <c r="C229" s="10"/>
      <c r="D229" s="10"/>
      <c r="E229" s="10"/>
      <c r="F229" s="23"/>
      <c r="G229" s="23"/>
      <c r="H229" s="10"/>
      <c r="I229" s="10"/>
    </row>
    <row r="230" ht="15.75" customHeight="1">
      <c r="A230" s="10"/>
      <c r="B230" s="10"/>
      <c r="C230" s="10"/>
      <c r="D230" s="10"/>
      <c r="E230" s="10"/>
      <c r="F230" s="23"/>
      <c r="G230" s="23"/>
      <c r="H230" s="10"/>
      <c r="I230" s="10"/>
    </row>
    <row r="231" ht="15.75" customHeight="1">
      <c r="A231" s="10"/>
      <c r="B231" s="10"/>
      <c r="C231" s="10"/>
      <c r="D231" s="10"/>
      <c r="E231" s="10"/>
      <c r="F231" s="23"/>
      <c r="G231" s="23"/>
      <c r="H231" s="10"/>
      <c r="I231" s="10"/>
    </row>
    <row r="232" ht="15.75" customHeight="1">
      <c r="A232" s="10"/>
      <c r="B232" s="10"/>
      <c r="C232" s="10"/>
      <c r="D232" s="10"/>
      <c r="E232" s="10"/>
      <c r="F232" s="23"/>
      <c r="G232" s="23"/>
      <c r="H232" s="10"/>
      <c r="I232" s="10"/>
    </row>
    <row r="233" ht="15.75" customHeight="1">
      <c r="A233" s="10"/>
      <c r="B233" s="10"/>
      <c r="C233" s="10"/>
      <c r="D233" s="10"/>
      <c r="E233" s="10"/>
      <c r="F233" s="23"/>
      <c r="G233" s="23"/>
      <c r="H233" s="10"/>
      <c r="I233" s="10"/>
    </row>
    <row r="234" ht="15.75" customHeight="1">
      <c r="A234" s="10"/>
      <c r="B234" s="10"/>
      <c r="C234" s="10"/>
      <c r="D234" s="10"/>
      <c r="E234" s="10"/>
      <c r="F234" s="23"/>
      <c r="G234" s="23"/>
      <c r="H234" s="10"/>
      <c r="I234" s="10"/>
    </row>
    <row r="235" ht="15.75" customHeight="1">
      <c r="A235" s="10"/>
      <c r="B235" s="10"/>
      <c r="C235" s="10"/>
      <c r="D235" s="10"/>
      <c r="E235" s="10"/>
      <c r="F235" s="23"/>
      <c r="G235" s="23"/>
      <c r="H235" s="10"/>
      <c r="I235" s="10"/>
    </row>
    <row r="236" ht="15.75" customHeight="1">
      <c r="A236" s="10"/>
      <c r="B236" s="10"/>
      <c r="C236" s="10"/>
      <c r="D236" s="10"/>
      <c r="E236" s="10"/>
      <c r="F236" s="23"/>
      <c r="G236" s="23"/>
      <c r="H236" s="10"/>
      <c r="I236" s="10"/>
    </row>
    <row r="237" ht="15.75" customHeight="1">
      <c r="A237" s="10"/>
      <c r="B237" s="10"/>
      <c r="C237" s="10"/>
      <c r="D237" s="10"/>
      <c r="E237" s="10"/>
      <c r="F237" s="23"/>
      <c r="G237" s="23"/>
      <c r="H237" s="10"/>
      <c r="I237" s="10"/>
    </row>
    <row r="238" ht="15.75" customHeight="1">
      <c r="A238" s="10"/>
      <c r="B238" s="10"/>
      <c r="C238" s="10"/>
      <c r="D238" s="10"/>
      <c r="E238" s="10"/>
      <c r="F238" s="23"/>
      <c r="G238" s="23"/>
      <c r="H238" s="10"/>
      <c r="I238" s="10"/>
    </row>
    <row r="239" ht="15.75" customHeight="1">
      <c r="A239" s="10"/>
      <c r="B239" s="10"/>
      <c r="C239" s="10"/>
      <c r="D239" s="10"/>
      <c r="E239" s="10"/>
      <c r="F239" s="23"/>
      <c r="G239" s="23"/>
      <c r="H239" s="10"/>
      <c r="I239" s="10"/>
    </row>
    <row r="240" ht="15.75" customHeight="1">
      <c r="A240" s="10"/>
      <c r="B240" s="10"/>
      <c r="C240" s="10"/>
      <c r="D240" s="10"/>
      <c r="E240" s="10"/>
      <c r="F240" s="23"/>
      <c r="G240" s="23"/>
      <c r="H240" s="10"/>
      <c r="I240" s="10"/>
    </row>
    <row r="241" ht="15.75" customHeight="1">
      <c r="A241" s="10"/>
      <c r="B241" s="10"/>
      <c r="C241" s="10"/>
      <c r="D241" s="10"/>
      <c r="E241" s="10"/>
      <c r="F241" s="23"/>
      <c r="G241" s="23"/>
      <c r="H241" s="10"/>
      <c r="I241" s="10"/>
    </row>
    <row r="242" ht="15.75" customHeight="1">
      <c r="A242" s="10"/>
      <c r="B242" s="10"/>
      <c r="C242" s="10"/>
      <c r="D242" s="10"/>
      <c r="E242" s="10"/>
      <c r="F242" s="23"/>
      <c r="G242" s="23"/>
      <c r="H242" s="10"/>
      <c r="I242" s="10"/>
    </row>
    <row r="243" ht="15.75" customHeight="1">
      <c r="A243" s="10"/>
      <c r="B243" s="10"/>
      <c r="C243" s="10"/>
      <c r="D243" s="10"/>
      <c r="E243" s="10"/>
      <c r="F243" s="23"/>
      <c r="G243" s="23"/>
      <c r="H243" s="10"/>
      <c r="I243" s="10"/>
    </row>
    <row r="244" ht="15.75" customHeight="1">
      <c r="A244" s="10"/>
      <c r="B244" s="10"/>
      <c r="C244" s="10"/>
      <c r="D244" s="10"/>
      <c r="E244" s="10"/>
      <c r="F244" s="23"/>
      <c r="G244" s="23"/>
      <c r="H244" s="10"/>
      <c r="I244" s="10"/>
    </row>
    <row r="245" ht="15.75" customHeight="1">
      <c r="A245" s="10"/>
      <c r="B245" s="10"/>
      <c r="C245" s="10"/>
      <c r="D245" s="10"/>
      <c r="E245" s="10"/>
      <c r="F245" s="23"/>
      <c r="G245" s="23"/>
      <c r="H245" s="10"/>
      <c r="I245" s="10"/>
    </row>
    <row r="246" ht="15.75" customHeight="1">
      <c r="A246" s="10"/>
      <c r="B246" s="10"/>
      <c r="C246" s="10"/>
      <c r="D246" s="10"/>
      <c r="E246" s="10"/>
      <c r="F246" s="23"/>
      <c r="G246" s="23"/>
      <c r="H246" s="10"/>
      <c r="I246" s="10"/>
    </row>
    <row r="247" ht="15.75" customHeight="1">
      <c r="A247" s="10"/>
      <c r="B247" s="10"/>
      <c r="C247" s="10"/>
      <c r="D247" s="10"/>
      <c r="E247" s="10"/>
      <c r="F247" s="23"/>
      <c r="G247" s="23"/>
      <c r="H247" s="10"/>
      <c r="I247" s="10"/>
    </row>
    <row r="248" ht="15.75" customHeight="1">
      <c r="A248" s="10"/>
      <c r="B248" s="10"/>
      <c r="C248" s="10"/>
      <c r="D248" s="10"/>
      <c r="E248" s="10"/>
      <c r="F248" s="23"/>
      <c r="G248" s="23"/>
      <c r="H248" s="10"/>
      <c r="I248" s="10"/>
    </row>
    <row r="249" ht="15.75" customHeight="1">
      <c r="A249" s="10"/>
      <c r="B249" s="10"/>
      <c r="C249" s="10"/>
      <c r="D249" s="10"/>
      <c r="E249" s="10"/>
      <c r="F249" s="23"/>
      <c r="G249" s="23"/>
      <c r="H249" s="10"/>
      <c r="I249" s="10"/>
    </row>
    <row r="250" ht="15.75" customHeight="1">
      <c r="A250" s="10"/>
      <c r="B250" s="10"/>
      <c r="C250" s="10"/>
      <c r="D250" s="10"/>
      <c r="E250" s="10"/>
      <c r="F250" s="23"/>
      <c r="G250" s="23"/>
      <c r="H250" s="10"/>
      <c r="I250" s="10"/>
    </row>
    <row r="251" ht="15.75" customHeight="1">
      <c r="A251" s="10"/>
      <c r="B251" s="10"/>
      <c r="C251" s="10"/>
      <c r="D251" s="10"/>
      <c r="E251" s="10"/>
      <c r="F251" s="23"/>
      <c r="G251" s="23"/>
      <c r="H251" s="10"/>
      <c r="I251" s="10"/>
    </row>
    <row r="252" ht="15.75" customHeight="1">
      <c r="A252" s="10"/>
      <c r="B252" s="10"/>
      <c r="C252" s="10"/>
      <c r="D252" s="10"/>
      <c r="E252" s="10"/>
      <c r="F252" s="23"/>
      <c r="G252" s="23"/>
      <c r="H252" s="10"/>
      <c r="I252" s="10"/>
    </row>
    <row r="253" ht="15.75" customHeight="1">
      <c r="A253" s="10"/>
      <c r="B253" s="10"/>
      <c r="C253" s="10"/>
      <c r="D253" s="10"/>
      <c r="E253" s="10"/>
      <c r="F253" s="23"/>
      <c r="G253" s="23"/>
      <c r="H253" s="10"/>
      <c r="I253" s="10"/>
    </row>
    <row r="254" ht="15.75" customHeight="1">
      <c r="A254" s="10"/>
      <c r="B254" s="10"/>
      <c r="C254" s="10"/>
      <c r="D254" s="10"/>
      <c r="E254" s="10"/>
      <c r="F254" s="23"/>
      <c r="G254" s="23"/>
      <c r="H254" s="10"/>
      <c r="I254" s="10"/>
    </row>
    <row r="255" ht="15.75" customHeight="1">
      <c r="A255" s="10"/>
      <c r="B255" s="10"/>
      <c r="C255" s="10"/>
      <c r="D255" s="10"/>
      <c r="E255" s="10"/>
      <c r="F255" s="23"/>
      <c r="G255" s="23"/>
      <c r="H255" s="10"/>
      <c r="I255" s="10"/>
    </row>
    <row r="256" ht="15.75" customHeight="1">
      <c r="A256" s="10"/>
      <c r="B256" s="10"/>
      <c r="C256" s="10"/>
      <c r="D256" s="10"/>
      <c r="E256" s="10"/>
      <c r="F256" s="23"/>
      <c r="G256" s="23"/>
      <c r="H256" s="10"/>
      <c r="I256" s="10"/>
    </row>
    <row r="257" ht="15.75" customHeight="1">
      <c r="A257" s="10"/>
      <c r="B257" s="10"/>
      <c r="C257" s="10"/>
      <c r="D257" s="10"/>
      <c r="E257" s="10"/>
      <c r="F257" s="23"/>
      <c r="G257" s="23"/>
      <c r="H257" s="10"/>
      <c r="I257" s="10"/>
    </row>
    <row r="258" ht="15.75" customHeight="1">
      <c r="A258" s="10"/>
      <c r="B258" s="10"/>
      <c r="C258" s="10"/>
      <c r="D258" s="10"/>
      <c r="E258" s="10"/>
      <c r="F258" s="23"/>
      <c r="G258" s="23"/>
      <c r="H258" s="10"/>
      <c r="I258" s="10"/>
    </row>
    <row r="259" ht="15.75" customHeight="1">
      <c r="A259" s="10"/>
      <c r="B259" s="10"/>
      <c r="C259" s="10"/>
      <c r="D259" s="10"/>
      <c r="E259" s="10"/>
      <c r="F259" s="23"/>
      <c r="G259" s="23"/>
      <c r="H259" s="10"/>
      <c r="I259" s="10"/>
    </row>
    <row r="260" ht="15.75" customHeight="1">
      <c r="A260" s="10"/>
      <c r="B260" s="10"/>
      <c r="C260" s="10"/>
      <c r="D260" s="10"/>
      <c r="E260" s="10"/>
      <c r="F260" s="23"/>
      <c r="G260" s="23"/>
      <c r="H260" s="10"/>
      <c r="I260" s="10"/>
    </row>
    <row r="261" ht="15.75" customHeight="1">
      <c r="A261" s="10"/>
      <c r="B261" s="10"/>
      <c r="C261" s="10"/>
      <c r="D261" s="10"/>
      <c r="E261" s="10"/>
      <c r="F261" s="23"/>
      <c r="G261" s="23"/>
      <c r="H261" s="10"/>
      <c r="I261" s="10"/>
    </row>
    <row r="262" ht="15.75" customHeight="1">
      <c r="A262" s="10"/>
      <c r="B262" s="10"/>
      <c r="C262" s="10"/>
      <c r="D262" s="10"/>
      <c r="E262" s="10"/>
      <c r="F262" s="23"/>
      <c r="G262" s="23"/>
      <c r="H262" s="10"/>
      <c r="I262" s="10"/>
    </row>
    <row r="263" ht="15.75" customHeight="1">
      <c r="A263" s="10"/>
      <c r="B263" s="10"/>
      <c r="C263" s="10"/>
      <c r="D263" s="10"/>
      <c r="E263" s="10"/>
      <c r="F263" s="23"/>
      <c r="G263" s="23"/>
      <c r="H263" s="10"/>
      <c r="I263" s="10"/>
    </row>
    <row r="264" ht="15.75" customHeight="1">
      <c r="A264" s="10"/>
      <c r="B264" s="10"/>
      <c r="C264" s="10"/>
      <c r="D264" s="10"/>
      <c r="E264" s="10"/>
      <c r="F264" s="23"/>
      <c r="G264" s="23"/>
      <c r="H264" s="10"/>
      <c r="I264" s="10"/>
    </row>
    <row r="265" ht="15.75" customHeight="1">
      <c r="A265" s="10"/>
      <c r="B265" s="10"/>
      <c r="C265" s="10"/>
      <c r="D265" s="10"/>
      <c r="E265" s="10"/>
      <c r="F265" s="23"/>
      <c r="G265" s="23"/>
      <c r="H265" s="10"/>
      <c r="I265" s="10"/>
    </row>
    <row r="266" ht="15.75" customHeight="1">
      <c r="A266" s="10"/>
      <c r="B266" s="10"/>
      <c r="C266" s="10"/>
      <c r="D266" s="10"/>
      <c r="E266" s="10"/>
      <c r="F266" s="23"/>
      <c r="G266" s="23"/>
      <c r="H266" s="10"/>
      <c r="I266" s="10"/>
    </row>
    <row r="267" ht="15.75" customHeight="1">
      <c r="A267" s="10"/>
      <c r="B267" s="10"/>
      <c r="C267" s="10"/>
      <c r="D267" s="10"/>
      <c r="E267" s="10"/>
      <c r="F267" s="23"/>
      <c r="G267" s="23"/>
      <c r="H267" s="10"/>
      <c r="I267" s="10"/>
    </row>
    <row r="268" ht="15.75" customHeight="1">
      <c r="A268" s="10"/>
      <c r="B268" s="10"/>
      <c r="C268" s="10"/>
      <c r="D268" s="10"/>
      <c r="E268" s="10"/>
      <c r="F268" s="23"/>
      <c r="G268" s="23"/>
      <c r="H268" s="10"/>
      <c r="I268" s="10"/>
    </row>
    <row r="269" ht="15.75" customHeight="1">
      <c r="A269" s="10"/>
      <c r="B269" s="10"/>
      <c r="C269" s="10"/>
      <c r="D269" s="10"/>
      <c r="E269" s="10"/>
      <c r="F269" s="23"/>
      <c r="G269" s="23"/>
      <c r="H269" s="10"/>
      <c r="I269" s="10"/>
    </row>
    <row r="270" ht="15.75" customHeight="1">
      <c r="A270" s="10"/>
      <c r="B270" s="10"/>
      <c r="C270" s="10"/>
      <c r="D270" s="10"/>
      <c r="E270" s="10"/>
      <c r="F270" s="23"/>
      <c r="G270" s="23"/>
      <c r="H270" s="10"/>
      <c r="I270" s="10"/>
    </row>
    <row r="271" ht="15.75" customHeight="1">
      <c r="A271" s="10"/>
      <c r="B271" s="10"/>
      <c r="C271" s="10"/>
      <c r="D271" s="10"/>
      <c r="E271" s="10"/>
      <c r="F271" s="23"/>
      <c r="G271" s="23"/>
      <c r="H271" s="10"/>
      <c r="I271" s="10"/>
    </row>
    <row r="272" ht="15.75" customHeight="1">
      <c r="A272" s="10"/>
      <c r="B272" s="10"/>
      <c r="C272" s="10"/>
      <c r="D272" s="10"/>
      <c r="E272" s="10"/>
      <c r="F272" s="23"/>
      <c r="G272" s="23"/>
      <c r="H272" s="10"/>
      <c r="I272" s="10"/>
    </row>
    <row r="273" ht="15.75" customHeight="1">
      <c r="A273" s="10"/>
      <c r="B273" s="10"/>
      <c r="C273" s="10"/>
      <c r="D273" s="10"/>
      <c r="E273" s="10"/>
      <c r="F273" s="23"/>
      <c r="G273" s="23"/>
      <c r="H273" s="10"/>
      <c r="I273" s="10"/>
    </row>
    <row r="274" ht="15.75" customHeight="1">
      <c r="A274" s="10"/>
      <c r="B274" s="10"/>
      <c r="C274" s="10"/>
      <c r="D274" s="10"/>
      <c r="E274" s="10"/>
      <c r="F274" s="23"/>
      <c r="G274" s="23"/>
      <c r="H274" s="10"/>
      <c r="I274" s="10"/>
    </row>
    <row r="275" ht="15.75" customHeight="1">
      <c r="A275" s="10"/>
      <c r="B275" s="10"/>
      <c r="C275" s="10"/>
      <c r="D275" s="10"/>
      <c r="E275" s="10"/>
      <c r="F275" s="23"/>
      <c r="G275" s="23"/>
      <c r="H275" s="10"/>
      <c r="I275" s="10"/>
    </row>
    <row r="276" ht="15.75" customHeight="1">
      <c r="A276" s="10"/>
      <c r="B276" s="10"/>
      <c r="C276" s="10"/>
      <c r="D276" s="10"/>
      <c r="E276" s="10"/>
      <c r="F276" s="23"/>
      <c r="G276" s="23"/>
      <c r="H276" s="10"/>
      <c r="I276" s="10"/>
    </row>
    <row r="277" ht="15.75" customHeight="1">
      <c r="A277" s="10"/>
      <c r="B277" s="10"/>
      <c r="C277" s="10"/>
      <c r="D277" s="10"/>
      <c r="E277" s="10"/>
      <c r="F277" s="23"/>
      <c r="G277" s="23"/>
      <c r="H277" s="10"/>
      <c r="I277" s="10"/>
    </row>
    <row r="278" ht="15.75" customHeight="1">
      <c r="A278" s="10"/>
      <c r="B278" s="10"/>
      <c r="C278" s="10"/>
      <c r="D278" s="10"/>
      <c r="E278" s="10"/>
      <c r="F278" s="23"/>
      <c r="G278" s="23"/>
      <c r="H278" s="10"/>
      <c r="I278" s="10"/>
    </row>
    <row r="279" ht="15.75" customHeight="1">
      <c r="A279" s="10"/>
      <c r="B279" s="10"/>
      <c r="C279" s="10"/>
      <c r="D279" s="10"/>
      <c r="E279" s="10"/>
      <c r="F279" s="23"/>
      <c r="G279" s="23"/>
      <c r="H279" s="10"/>
      <c r="I279" s="10"/>
    </row>
    <row r="280" ht="15.75" customHeight="1">
      <c r="A280" s="10"/>
      <c r="B280" s="10"/>
      <c r="C280" s="10"/>
      <c r="D280" s="10"/>
      <c r="E280" s="10"/>
      <c r="F280" s="23"/>
      <c r="G280" s="23"/>
      <c r="H280" s="10"/>
      <c r="I280" s="10"/>
    </row>
    <row r="281" ht="15.75" customHeight="1">
      <c r="A281" s="10"/>
      <c r="B281" s="10"/>
      <c r="C281" s="10"/>
      <c r="D281" s="10"/>
      <c r="E281" s="10"/>
      <c r="F281" s="23"/>
      <c r="G281" s="23"/>
      <c r="H281" s="10"/>
      <c r="I281" s="10"/>
    </row>
    <row r="282" ht="15.75" customHeight="1">
      <c r="A282" s="10"/>
      <c r="B282" s="10"/>
      <c r="C282" s="10"/>
      <c r="D282" s="10"/>
      <c r="E282" s="10"/>
      <c r="F282" s="23"/>
      <c r="G282" s="23"/>
      <c r="H282" s="10"/>
      <c r="I282" s="10"/>
    </row>
    <row r="283" ht="15.75" customHeight="1">
      <c r="A283" s="10"/>
      <c r="B283" s="10"/>
      <c r="C283" s="10"/>
      <c r="D283" s="10"/>
      <c r="E283" s="10"/>
      <c r="F283" s="23"/>
      <c r="G283" s="23"/>
      <c r="H283" s="10"/>
      <c r="I283" s="10"/>
    </row>
    <row r="284" ht="15.75" customHeight="1">
      <c r="A284" s="10"/>
      <c r="B284" s="10"/>
      <c r="C284" s="10"/>
      <c r="D284" s="10"/>
      <c r="E284" s="10"/>
      <c r="F284" s="23"/>
      <c r="G284" s="23"/>
      <c r="H284" s="10"/>
      <c r="I284" s="10"/>
    </row>
    <row r="285" ht="15.75" customHeight="1">
      <c r="A285" s="10"/>
      <c r="B285" s="10"/>
      <c r="C285" s="10"/>
      <c r="D285" s="10"/>
      <c r="E285" s="10"/>
      <c r="F285" s="23"/>
      <c r="G285" s="23"/>
      <c r="H285" s="10"/>
      <c r="I285" s="10"/>
    </row>
    <row r="286" ht="15.75" customHeight="1">
      <c r="A286" s="10"/>
      <c r="B286" s="10"/>
      <c r="C286" s="10"/>
      <c r="D286" s="10"/>
      <c r="E286" s="10"/>
      <c r="F286" s="23"/>
      <c r="G286" s="23"/>
      <c r="H286" s="10"/>
      <c r="I286" s="10"/>
    </row>
    <row r="287" ht="15.75" customHeight="1">
      <c r="A287" s="10"/>
      <c r="B287" s="10"/>
      <c r="C287" s="10"/>
      <c r="D287" s="10"/>
      <c r="E287" s="10"/>
      <c r="F287" s="23"/>
      <c r="G287" s="23"/>
      <c r="H287" s="10"/>
      <c r="I287" s="10"/>
    </row>
    <row r="288" ht="15.75" customHeight="1">
      <c r="A288" s="10"/>
      <c r="B288" s="10"/>
      <c r="C288" s="10"/>
      <c r="D288" s="10"/>
      <c r="E288" s="10"/>
      <c r="F288" s="23"/>
      <c r="G288" s="23"/>
      <c r="H288" s="10"/>
      <c r="I288" s="10"/>
    </row>
    <row r="289" ht="15.75" customHeight="1">
      <c r="A289" s="10"/>
      <c r="B289" s="10"/>
      <c r="C289" s="10"/>
      <c r="D289" s="10"/>
      <c r="E289" s="10"/>
      <c r="F289" s="23"/>
      <c r="G289" s="23"/>
      <c r="H289" s="10"/>
      <c r="I289" s="10"/>
    </row>
    <row r="290" ht="15.75" customHeight="1">
      <c r="A290" s="10"/>
      <c r="B290" s="10"/>
      <c r="C290" s="10"/>
      <c r="D290" s="10"/>
      <c r="E290" s="10"/>
      <c r="F290" s="23"/>
      <c r="G290" s="23"/>
      <c r="H290" s="10"/>
      <c r="I290" s="10"/>
    </row>
    <row r="291" ht="15.75" customHeight="1">
      <c r="A291" s="10"/>
      <c r="B291" s="10"/>
      <c r="C291" s="10"/>
      <c r="D291" s="10"/>
      <c r="E291" s="10"/>
      <c r="F291" s="23"/>
      <c r="G291" s="23"/>
      <c r="H291" s="10"/>
      <c r="I291" s="10"/>
    </row>
    <row r="292" ht="15.75" customHeight="1">
      <c r="A292" s="10"/>
      <c r="B292" s="10"/>
      <c r="C292" s="10"/>
      <c r="D292" s="10"/>
      <c r="E292" s="10"/>
      <c r="F292" s="23"/>
      <c r="G292" s="23"/>
      <c r="H292" s="10"/>
      <c r="I292" s="10"/>
    </row>
    <row r="293" ht="15.75" customHeight="1">
      <c r="A293" s="10"/>
      <c r="B293" s="10"/>
      <c r="C293" s="10"/>
      <c r="D293" s="10"/>
      <c r="E293" s="10"/>
      <c r="F293" s="23"/>
      <c r="G293" s="23"/>
      <c r="H293" s="10"/>
      <c r="I293" s="10"/>
    </row>
    <row r="294" ht="15.75" customHeight="1">
      <c r="A294" s="10"/>
      <c r="B294" s="10"/>
      <c r="C294" s="10"/>
      <c r="D294" s="10"/>
      <c r="E294" s="10"/>
      <c r="F294" s="23"/>
      <c r="G294" s="23"/>
      <c r="H294" s="10"/>
      <c r="I294" s="10"/>
    </row>
    <row r="295" ht="15.75" customHeight="1">
      <c r="A295" s="10"/>
      <c r="B295" s="10"/>
      <c r="C295" s="10"/>
      <c r="D295" s="10"/>
      <c r="E295" s="10"/>
      <c r="F295" s="23"/>
      <c r="G295" s="23"/>
      <c r="H295" s="10"/>
      <c r="I295" s="10"/>
    </row>
    <row r="296" ht="15.75" customHeight="1">
      <c r="A296" s="10"/>
      <c r="B296" s="10"/>
      <c r="C296" s="10"/>
      <c r="D296" s="10"/>
      <c r="E296" s="10"/>
      <c r="F296" s="23"/>
      <c r="G296" s="23"/>
      <c r="H296" s="10"/>
      <c r="I296" s="10"/>
    </row>
    <row r="297" ht="15.75" customHeight="1">
      <c r="A297" s="10"/>
      <c r="B297" s="10"/>
      <c r="C297" s="10"/>
      <c r="D297" s="10"/>
      <c r="E297" s="10"/>
      <c r="F297" s="23"/>
      <c r="G297" s="23"/>
      <c r="H297" s="10"/>
      <c r="I297" s="10"/>
    </row>
    <row r="298" ht="15.75" customHeight="1">
      <c r="A298" s="10"/>
      <c r="B298" s="10"/>
      <c r="C298" s="10"/>
      <c r="D298" s="10"/>
      <c r="E298" s="10"/>
      <c r="F298" s="23"/>
      <c r="G298" s="23"/>
      <c r="H298" s="10"/>
      <c r="I298" s="10"/>
    </row>
    <row r="299" ht="15.75" customHeight="1">
      <c r="A299" s="10"/>
      <c r="B299" s="10"/>
      <c r="C299" s="10"/>
      <c r="D299" s="10"/>
      <c r="E299" s="10"/>
      <c r="F299" s="23"/>
      <c r="G299" s="23"/>
      <c r="H299" s="10"/>
      <c r="I299" s="10"/>
    </row>
    <row r="300" ht="15.75" customHeight="1">
      <c r="A300" s="10"/>
      <c r="B300" s="10"/>
      <c r="C300" s="10"/>
      <c r="D300" s="10"/>
      <c r="E300" s="10"/>
      <c r="F300" s="23"/>
      <c r="G300" s="23"/>
      <c r="H300" s="10"/>
      <c r="I300" s="10"/>
    </row>
    <row r="301" ht="15.75" customHeight="1">
      <c r="A301" s="10"/>
      <c r="B301" s="10"/>
      <c r="C301" s="10"/>
      <c r="D301" s="10"/>
      <c r="E301" s="10"/>
      <c r="F301" s="23"/>
      <c r="G301" s="23"/>
      <c r="H301" s="10"/>
      <c r="I301" s="10"/>
    </row>
    <row r="302" ht="15.75" customHeight="1">
      <c r="A302" s="10"/>
      <c r="B302" s="10"/>
      <c r="C302" s="10"/>
      <c r="D302" s="10"/>
      <c r="E302" s="10"/>
      <c r="F302" s="23"/>
      <c r="G302" s="23"/>
      <c r="H302" s="10"/>
      <c r="I302" s="10"/>
    </row>
    <row r="303" ht="15.75" customHeight="1">
      <c r="A303" s="10"/>
      <c r="B303" s="10"/>
      <c r="C303" s="10"/>
      <c r="D303" s="10"/>
      <c r="E303" s="10"/>
      <c r="F303" s="23"/>
      <c r="G303" s="23"/>
      <c r="H303" s="10"/>
      <c r="I303" s="10"/>
    </row>
    <row r="304" ht="15.75" customHeight="1">
      <c r="A304" s="10"/>
      <c r="B304" s="10"/>
      <c r="C304" s="10"/>
      <c r="D304" s="10"/>
      <c r="E304" s="10"/>
      <c r="F304" s="23"/>
      <c r="G304" s="23"/>
      <c r="H304" s="10"/>
      <c r="I304" s="10"/>
    </row>
    <row r="305" ht="15.75" customHeight="1">
      <c r="A305" s="10"/>
      <c r="B305" s="10"/>
      <c r="C305" s="10"/>
      <c r="D305" s="10"/>
      <c r="E305" s="10"/>
      <c r="F305" s="23"/>
      <c r="G305" s="23"/>
      <c r="H305" s="10"/>
      <c r="I305" s="10"/>
    </row>
    <row r="306" ht="15.75" customHeight="1">
      <c r="A306" s="10"/>
      <c r="B306" s="10"/>
      <c r="C306" s="10"/>
      <c r="D306" s="10"/>
      <c r="E306" s="10"/>
      <c r="F306" s="23"/>
      <c r="G306" s="23"/>
      <c r="H306" s="10"/>
      <c r="I306" s="10"/>
    </row>
    <row r="307" ht="15.75" customHeight="1">
      <c r="A307" s="10"/>
      <c r="B307" s="10"/>
      <c r="C307" s="10"/>
      <c r="D307" s="10"/>
      <c r="E307" s="10"/>
      <c r="F307" s="23"/>
      <c r="G307" s="23"/>
      <c r="H307" s="10"/>
      <c r="I307" s="10"/>
    </row>
    <row r="308" ht="15.75" customHeight="1">
      <c r="A308" s="10"/>
      <c r="B308" s="10"/>
      <c r="C308" s="10"/>
      <c r="D308" s="10"/>
      <c r="E308" s="10"/>
      <c r="F308" s="23"/>
      <c r="G308" s="23"/>
      <c r="H308" s="10"/>
      <c r="I308" s="10"/>
    </row>
    <row r="309" ht="15.75" customHeight="1">
      <c r="A309" s="10"/>
      <c r="B309" s="10"/>
      <c r="C309" s="10"/>
      <c r="D309" s="10"/>
      <c r="E309" s="10"/>
      <c r="F309" s="23"/>
      <c r="G309" s="23"/>
      <c r="H309" s="10"/>
      <c r="I309" s="10"/>
    </row>
    <row r="310" ht="15.75" customHeight="1">
      <c r="A310" s="10"/>
      <c r="B310" s="10"/>
      <c r="C310" s="10"/>
      <c r="D310" s="10"/>
      <c r="E310" s="10"/>
      <c r="F310" s="23"/>
      <c r="G310" s="23"/>
      <c r="H310" s="10"/>
      <c r="I310" s="10"/>
    </row>
    <row r="311" ht="15.75" customHeight="1">
      <c r="A311" s="10"/>
      <c r="B311" s="10"/>
      <c r="C311" s="10"/>
      <c r="D311" s="10"/>
      <c r="E311" s="10"/>
      <c r="F311" s="23"/>
      <c r="G311" s="23"/>
      <c r="H311" s="10"/>
      <c r="I311" s="10"/>
    </row>
    <row r="312" ht="15.75" customHeight="1">
      <c r="A312" s="10"/>
      <c r="B312" s="10"/>
      <c r="C312" s="10"/>
      <c r="D312" s="10"/>
      <c r="E312" s="10"/>
      <c r="F312" s="23"/>
      <c r="G312" s="23"/>
      <c r="H312" s="10"/>
      <c r="I312" s="10"/>
    </row>
    <row r="313" ht="15.75" customHeight="1">
      <c r="A313" s="10"/>
      <c r="B313" s="10"/>
      <c r="C313" s="10"/>
      <c r="D313" s="10"/>
      <c r="E313" s="10"/>
      <c r="F313" s="23"/>
      <c r="G313" s="23"/>
      <c r="H313" s="10"/>
      <c r="I313" s="10"/>
    </row>
    <row r="314" ht="15.75" customHeight="1">
      <c r="A314" s="10"/>
      <c r="B314" s="10"/>
      <c r="C314" s="10"/>
      <c r="D314" s="10"/>
      <c r="E314" s="10"/>
      <c r="F314" s="23"/>
      <c r="G314" s="23"/>
      <c r="H314" s="10"/>
      <c r="I314" s="10"/>
    </row>
    <row r="315" ht="15.75" customHeight="1">
      <c r="A315" s="10"/>
      <c r="B315" s="10"/>
      <c r="C315" s="10"/>
      <c r="D315" s="10"/>
      <c r="E315" s="10"/>
      <c r="F315" s="23"/>
      <c r="G315" s="23"/>
      <c r="H315" s="10"/>
      <c r="I315" s="10"/>
    </row>
    <row r="316" ht="15.75" customHeight="1">
      <c r="A316" s="10"/>
      <c r="B316" s="10"/>
      <c r="C316" s="10"/>
      <c r="D316" s="10"/>
      <c r="E316" s="10"/>
      <c r="F316" s="23"/>
      <c r="G316" s="23"/>
      <c r="H316" s="10"/>
      <c r="I316" s="10"/>
    </row>
    <row r="317" ht="15.75" customHeight="1">
      <c r="A317" s="10"/>
      <c r="B317" s="10"/>
      <c r="C317" s="10"/>
      <c r="D317" s="10"/>
      <c r="E317" s="10"/>
      <c r="F317" s="23"/>
      <c r="G317" s="23"/>
      <c r="H317" s="10"/>
      <c r="I317" s="10"/>
    </row>
    <row r="318" ht="15.75" customHeight="1">
      <c r="A318" s="10"/>
      <c r="B318" s="10"/>
      <c r="C318" s="10"/>
      <c r="D318" s="10"/>
      <c r="E318" s="10"/>
      <c r="F318" s="23"/>
      <c r="G318" s="23"/>
      <c r="H318" s="10"/>
      <c r="I318" s="10"/>
    </row>
    <row r="319" ht="15.75" customHeight="1">
      <c r="A319" s="10"/>
      <c r="B319" s="10"/>
      <c r="C319" s="10"/>
      <c r="D319" s="10"/>
      <c r="E319" s="10"/>
      <c r="F319" s="23"/>
      <c r="G319" s="23"/>
      <c r="H319" s="10"/>
      <c r="I319" s="10"/>
    </row>
    <row r="320" ht="15.75" customHeight="1">
      <c r="A320" s="10"/>
      <c r="B320" s="10"/>
      <c r="C320" s="10"/>
      <c r="D320" s="10"/>
      <c r="E320" s="10"/>
      <c r="F320" s="23"/>
      <c r="G320" s="23"/>
      <c r="H320" s="10"/>
      <c r="I320" s="10"/>
    </row>
    <row r="321" ht="15.75" customHeight="1">
      <c r="A321" s="10"/>
      <c r="B321" s="10"/>
      <c r="C321" s="10"/>
      <c r="D321" s="10"/>
      <c r="E321" s="10"/>
      <c r="F321" s="23"/>
      <c r="G321" s="23"/>
      <c r="H321" s="10"/>
      <c r="I321" s="10"/>
    </row>
    <row r="322" ht="15.75" customHeight="1">
      <c r="A322" s="10"/>
      <c r="B322" s="10"/>
      <c r="C322" s="10"/>
      <c r="D322" s="10"/>
      <c r="E322" s="10"/>
      <c r="F322" s="23"/>
      <c r="G322" s="23"/>
      <c r="H322" s="10"/>
      <c r="I322" s="10"/>
    </row>
    <row r="323" ht="15.75" customHeight="1">
      <c r="A323" s="10"/>
      <c r="B323" s="10"/>
      <c r="C323" s="10"/>
      <c r="D323" s="10"/>
      <c r="E323" s="10"/>
      <c r="F323" s="23"/>
      <c r="G323" s="23"/>
      <c r="H323" s="10"/>
      <c r="I323" s="10"/>
    </row>
    <row r="324" ht="15.75" customHeight="1">
      <c r="A324" s="10"/>
      <c r="B324" s="10"/>
      <c r="C324" s="10"/>
      <c r="D324" s="10"/>
      <c r="E324" s="10"/>
      <c r="F324" s="23"/>
      <c r="G324" s="23"/>
      <c r="H324" s="10"/>
      <c r="I324" s="10"/>
    </row>
    <row r="325" ht="15.75" customHeight="1">
      <c r="A325" s="10"/>
      <c r="B325" s="10"/>
      <c r="C325" s="10"/>
      <c r="D325" s="10"/>
      <c r="E325" s="10"/>
      <c r="F325" s="23"/>
      <c r="G325" s="23"/>
      <c r="H325" s="10"/>
      <c r="I325" s="10"/>
    </row>
    <row r="326" ht="15.75" customHeight="1">
      <c r="A326" s="10"/>
      <c r="B326" s="10"/>
      <c r="C326" s="10"/>
      <c r="D326" s="10"/>
      <c r="E326" s="10"/>
      <c r="F326" s="23"/>
      <c r="G326" s="23"/>
      <c r="H326" s="10"/>
      <c r="I326" s="10"/>
    </row>
    <row r="327" ht="15.75" customHeight="1">
      <c r="A327" s="10"/>
      <c r="B327" s="10"/>
      <c r="C327" s="10"/>
      <c r="D327" s="10"/>
      <c r="E327" s="10"/>
      <c r="F327" s="23"/>
      <c r="G327" s="23"/>
      <c r="H327" s="10"/>
      <c r="I327" s="10"/>
    </row>
    <row r="328" ht="15.75" customHeight="1">
      <c r="A328" s="10"/>
      <c r="B328" s="10"/>
      <c r="C328" s="10"/>
      <c r="D328" s="10"/>
      <c r="E328" s="10"/>
      <c r="F328" s="23"/>
      <c r="G328" s="23"/>
      <c r="H328" s="10"/>
      <c r="I328" s="10"/>
    </row>
    <row r="329" ht="15.75" customHeight="1">
      <c r="A329" s="10"/>
      <c r="B329" s="10"/>
      <c r="C329" s="10"/>
      <c r="D329" s="10"/>
      <c r="E329" s="10"/>
      <c r="F329" s="23"/>
      <c r="G329" s="23"/>
      <c r="H329" s="10"/>
      <c r="I329" s="10"/>
    </row>
    <row r="330" ht="15.75" customHeight="1">
      <c r="A330" s="10"/>
      <c r="B330" s="10"/>
      <c r="C330" s="10"/>
      <c r="D330" s="10"/>
      <c r="E330" s="10"/>
      <c r="F330" s="23"/>
      <c r="G330" s="23"/>
      <c r="H330" s="10"/>
      <c r="I330" s="10"/>
    </row>
    <row r="331" ht="15.75" customHeight="1">
      <c r="A331" s="10"/>
      <c r="B331" s="10"/>
      <c r="C331" s="10"/>
      <c r="D331" s="10"/>
      <c r="E331" s="10"/>
      <c r="F331" s="23"/>
      <c r="G331" s="23"/>
      <c r="H331" s="10"/>
      <c r="I331" s="10"/>
    </row>
    <row r="332" ht="15.75" customHeight="1">
      <c r="A332" s="10"/>
      <c r="B332" s="10"/>
      <c r="C332" s="10"/>
      <c r="D332" s="10"/>
      <c r="E332" s="10"/>
      <c r="F332" s="23"/>
      <c r="G332" s="23"/>
      <c r="H332" s="10"/>
      <c r="I332" s="10"/>
    </row>
    <row r="333" ht="15.75" customHeight="1">
      <c r="A333" s="10"/>
      <c r="B333" s="10"/>
      <c r="C333" s="10"/>
      <c r="D333" s="10"/>
      <c r="E333" s="10"/>
      <c r="F333" s="23"/>
      <c r="G333" s="23"/>
      <c r="H333" s="10"/>
      <c r="I333" s="10"/>
    </row>
    <row r="334" ht="15.75" customHeight="1">
      <c r="A334" s="10"/>
      <c r="B334" s="10"/>
      <c r="C334" s="10"/>
      <c r="D334" s="10"/>
      <c r="E334" s="10"/>
      <c r="F334" s="23"/>
      <c r="G334" s="23"/>
      <c r="H334" s="10"/>
      <c r="I334" s="10"/>
    </row>
    <row r="335" ht="15.75" customHeight="1">
      <c r="A335" s="10"/>
      <c r="B335" s="10"/>
      <c r="C335" s="10"/>
      <c r="D335" s="10"/>
      <c r="E335" s="10"/>
      <c r="F335" s="23"/>
      <c r="G335" s="23"/>
      <c r="H335" s="10"/>
      <c r="I335" s="10"/>
    </row>
    <row r="336" ht="15.75" customHeight="1">
      <c r="A336" s="10"/>
      <c r="B336" s="10"/>
      <c r="C336" s="10"/>
      <c r="D336" s="10"/>
      <c r="E336" s="10"/>
      <c r="F336" s="23"/>
      <c r="G336" s="23"/>
      <c r="H336" s="10"/>
      <c r="I336" s="10"/>
    </row>
    <row r="337" ht="15.75" customHeight="1">
      <c r="A337" s="10"/>
      <c r="B337" s="10"/>
      <c r="C337" s="10"/>
      <c r="D337" s="10"/>
      <c r="E337" s="10"/>
      <c r="F337" s="23"/>
      <c r="G337" s="23"/>
      <c r="H337" s="10"/>
      <c r="I337" s="10"/>
    </row>
    <row r="338" ht="15.75" customHeight="1">
      <c r="A338" s="10"/>
      <c r="B338" s="10"/>
      <c r="C338" s="10"/>
      <c r="D338" s="10"/>
      <c r="E338" s="10"/>
      <c r="F338" s="23"/>
      <c r="G338" s="23"/>
      <c r="H338" s="10"/>
      <c r="I338" s="10"/>
    </row>
    <row r="339" ht="15.75" customHeight="1">
      <c r="A339" s="10"/>
      <c r="B339" s="10"/>
      <c r="C339" s="10"/>
      <c r="D339" s="10"/>
      <c r="E339" s="10"/>
      <c r="F339" s="23"/>
      <c r="G339" s="23"/>
      <c r="H339" s="10"/>
      <c r="I339" s="10"/>
    </row>
    <row r="340" ht="15.75" customHeight="1">
      <c r="A340" s="10"/>
      <c r="B340" s="10"/>
      <c r="C340" s="10"/>
      <c r="D340" s="10"/>
      <c r="E340" s="10"/>
      <c r="F340" s="23"/>
      <c r="G340" s="23"/>
      <c r="H340" s="10"/>
      <c r="I340" s="10"/>
    </row>
    <row r="341" ht="15.75" customHeight="1">
      <c r="A341" s="10"/>
      <c r="B341" s="10"/>
      <c r="C341" s="10"/>
      <c r="D341" s="10"/>
      <c r="E341" s="10"/>
      <c r="F341" s="23"/>
      <c r="G341" s="23"/>
      <c r="H341" s="10"/>
      <c r="I341" s="10"/>
    </row>
    <row r="342" ht="15.75" customHeight="1">
      <c r="A342" s="10"/>
      <c r="B342" s="10"/>
      <c r="C342" s="10"/>
      <c r="D342" s="10"/>
      <c r="E342" s="10"/>
      <c r="F342" s="23"/>
      <c r="G342" s="23"/>
      <c r="H342" s="10"/>
      <c r="I342" s="10"/>
    </row>
    <row r="343" ht="15.75" customHeight="1">
      <c r="A343" s="10"/>
      <c r="B343" s="10"/>
      <c r="C343" s="10"/>
      <c r="D343" s="10"/>
      <c r="E343" s="10"/>
      <c r="F343" s="23"/>
      <c r="G343" s="23"/>
      <c r="H343" s="10"/>
      <c r="I343" s="10"/>
    </row>
    <row r="344" ht="15.75" customHeight="1">
      <c r="A344" s="10"/>
      <c r="B344" s="10"/>
      <c r="C344" s="10"/>
      <c r="D344" s="10"/>
      <c r="E344" s="10"/>
      <c r="F344" s="23"/>
      <c r="G344" s="23"/>
      <c r="H344" s="10"/>
      <c r="I344" s="10"/>
    </row>
    <row r="345" ht="15.75" customHeight="1">
      <c r="A345" s="10"/>
      <c r="B345" s="10"/>
      <c r="C345" s="10"/>
      <c r="D345" s="10"/>
      <c r="E345" s="10"/>
      <c r="F345" s="23"/>
      <c r="G345" s="23"/>
      <c r="H345" s="10"/>
      <c r="I345" s="10"/>
    </row>
    <row r="346" ht="15.75" customHeight="1">
      <c r="A346" s="10"/>
      <c r="B346" s="10"/>
      <c r="C346" s="10"/>
      <c r="D346" s="10"/>
      <c r="E346" s="10"/>
      <c r="F346" s="23"/>
      <c r="G346" s="23"/>
      <c r="H346" s="10"/>
      <c r="I346" s="10"/>
    </row>
    <row r="347" ht="15.75" customHeight="1">
      <c r="A347" s="10"/>
      <c r="B347" s="10"/>
      <c r="C347" s="10"/>
      <c r="D347" s="10"/>
      <c r="E347" s="10"/>
      <c r="F347" s="23"/>
      <c r="G347" s="23"/>
      <c r="H347" s="10"/>
      <c r="I347" s="10"/>
    </row>
    <row r="348" ht="15.75" customHeight="1">
      <c r="A348" s="10"/>
      <c r="B348" s="10"/>
      <c r="C348" s="10"/>
      <c r="D348" s="10"/>
      <c r="E348" s="10"/>
      <c r="F348" s="23"/>
      <c r="G348" s="23"/>
      <c r="H348" s="10"/>
      <c r="I348" s="10"/>
    </row>
    <row r="349" ht="15.75" customHeight="1">
      <c r="A349" s="10"/>
      <c r="B349" s="10"/>
      <c r="C349" s="10"/>
      <c r="D349" s="10"/>
      <c r="E349" s="10"/>
      <c r="F349" s="23"/>
      <c r="G349" s="23"/>
      <c r="H349" s="10"/>
      <c r="I349" s="10"/>
    </row>
    <row r="350" ht="15.75" customHeight="1">
      <c r="A350" s="10"/>
      <c r="B350" s="10"/>
      <c r="C350" s="10"/>
      <c r="D350" s="10"/>
      <c r="E350" s="10"/>
      <c r="F350" s="23"/>
      <c r="G350" s="23"/>
      <c r="H350" s="10"/>
      <c r="I350" s="10"/>
    </row>
    <row r="351" ht="15.75" customHeight="1">
      <c r="A351" s="10"/>
      <c r="B351" s="10"/>
      <c r="C351" s="10"/>
      <c r="D351" s="10"/>
      <c r="E351" s="10"/>
      <c r="F351" s="23"/>
      <c r="G351" s="23"/>
      <c r="H351" s="10"/>
      <c r="I351" s="10"/>
    </row>
    <row r="352" ht="15.75" customHeight="1">
      <c r="A352" s="10"/>
      <c r="B352" s="10"/>
      <c r="C352" s="10"/>
      <c r="D352" s="10"/>
      <c r="E352" s="10"/>
      <c r="F352" s="23"/>
      <c r="G352" s="23"/>
      <c r="H352" s="10"/>
      <c r="I352" s="10"/>
    </row>
    <row r="353" ht="15.75" customHeight="1">
      <c r="A353" s="10"/>
      <c r="B353" s="10"/>
      <c r="C353" s="10"/>
      <c r="D353" s="10"/>
      <c r="E353" s="10"/>
      <c r="F353" s="23"/>
      <c r="G353" s="23"/>
      <c r="H353" s="10"/>
      <c r="I353" s="10"/>
    </row>
    <row r="354" ht="15.75" customHeight="1">
      <c r="A354" s="10"/>
      <c r="B354" s="10"/>
      <c r="C354" s="10"/>
      <c r="D354" s="10"/>
      <c r="E354" s="10"/>
      <c r="F354" s="23"/>
      <c r="G354" s="23"/>
      <c r="H354" s="10"/>
      <c r="I354" s="10"/>
    </row>
    <row r="355" ht="15.75" customHeight="1">
      <c r="A355" s="10"/>
      <c r="B355" s="10"/>
      <c r="C355" s="10"/>
      <c r="D355" s="10"/>
      <c r="E355" s="10"/>
      <c r="F355" s="23"/>
      <c r="G355" s="23"/>
      <c r="H355" s="10"/>
      <c r="I355" s="10"/>
    </row>
    <row r="356" ht="15.75" customHeight="1">
      <c r="A356" s="10"/>
      <c r="B356" s="10"/>
      <c r="C356" s="10"/>
      <c r="D356" s="10"/>
      <c r="E356" s="10"/>
      <c r="F356" s="23"/>
      <c r="G356" s="23"/>
      <c r="H356" s="10"/>
      <c r="I356" s="10"/>
    </row>
    <row r="357" ht="15.75" customHeight="1">
      <c r="A357" s="10"/>
      <c r="B357" s="10"/>
      <c r="C357" s="10"/>
      <c r="D357" s="10"/>
      <c r="E357" s="10"/>
      <c r="F357" s="23"/>
      <c r="G357" s="23"/>
      <c r="H357" s="10"/>
      <c r="I357" s="10"/>
    </row>
    <row r="358" ht="15.75" customHeight="1">
      <c r="A358" s="10"/>
      <c r="B358" s="10"/>
      <c r="C358" s="10"/>
      <c r="D358" s="10"/>
      <c r="E358" s="10"/>
      <c r="F358" s="23"/>
      <c r="G358" s="23"/>
      <c r="H358" s="10"/>
      <c r="I358" s="10"/>
    </row>
    <row r="359" ht="15.75" customHeight="1">
      <c r="A359" s="10"/>
      <c r="B359" s="10"/>
      <c r="C359" s="10"/>
      <c r="D359" s="10"/>
      <c r="E359" s="10"/>
      <c r="F359" s="23"/>
      <c r="G359" s="23"/>
      <c r="H359" s="10"/>
      <c r="I359" s="10"/>
    </row>
    <row r="360" ht="15.75" customHeight="1">
      <c r="A360" s="10"/>
      <c r="B360" s="10"/>
      <c r="C360" s="10"/>
      <c r="D360" s="10"/>
      <c r="E360" s="10"/>
      <c r="F360" s="23"/>
      <c r="G360" s="23"/>
      <c r="H360" s="10"/>
      <c r="I360" s="10"/>
    </row>
    <row r="361" ht="15.75" customHeight="1">
      <c r="A361" s="10"/>
      <c r="B361" s="10"/>
      <c r="C361" s="10"/>
      <c r="D361" s="10"/>
      <c r="E361" s="10"/>
      <c r="F361" s="23"/>
      <c r="G361" s="23"/>
      <c r="H361" s="10"/>
      <c r="I361" s="10"/>
    </row>
    <row r="362" ht="15.75" customHeight="1">
      <c r="A362" s="10"/>
      <c r="B362" s="10"/>
      <c r="C362" s="10"/>
      <c r="D362" s="10"/>
      <c r="E362" s="10"/>
      <c r="F362" s="23"/>
      <c r="G362" s="23"/>
      <c r="H362" s="10"/>
      <c r="I362" s="10"/>
    </row>
    <row r="363" ht="15.75" customHeight="1">
      <c r="A363" s="10"/>
      <c r="B363" s="10"/>
      <c r="C363" s="10"/>
      <c r="D363" s="10"/>
      <c r="E363" s="10"/>
      <c r="F363" s="23"/>
      <c r="G363" s="23"/>
      <c r="H363" s="10"/>
      <c r="I363" s="10"/>
    </row>
    <row r="364" ht="15.75" customHeight="1">
      <c r="A364" s="10"/>
      <c r="B364" s="10"/>
      <c r="C364" s="10"/>
      <c r="D364" s="10"/>
      <c r="E364" s="10"/>
      <c r="F364" s="23"/>
      <c r="G364" s="23"/>
      <c r="H364" s="10"/>
      <c r="I364" s="10"/>
    </row>
    <row r="365" ht="15.75" customHeight="1">
      <c r="A365" s="10"/>
      <c r="B365" s="10"/>
      <c r="C365" s="10"/>
      <c r="D365" s="10"/>
      <c r="E365" s="10"/>
      <c r="F365" s="23"/>
      <c r="G365" s="23"/>
      <c r="H365" s="10"/>
      <c r="I365" s="10"/>
    </row>
    <row r="366" ht="15.75" customHeight="1">
      <c r="A366" s="10"/>
      <c r="B366" s="10"/>
      <c r="C366" s="10"/>
      <c r="D366" s="10"/>
      <c r="E366" s="10"/>
      <c r="F366" s="23"/>
      <c r="G366" s="23"/>
      <c r="H366" s="10"/>
      <c r="I366" s="10"/>
    </row>
    <row r="367" ht="15.75" customHeight="1">
      <c r="A367" s="10"/>
      <c r="B367" s="10"/>
      <c r="C367" s="10"/>
      <c r="D367" s="10"/>
      <c r="E367" s="10"/>
      <c r="F367" s="23"/>
      <c r="G367" s="23"/>
      <c r="H367" s="10"/>
      <c r="I367" s="10"/>
    </row>
    <row r="368" ht="15.75" customHeight="1">
      <c r="A368" s="10"/>
      <c r="B368" s="10"/>
      <c r="C368" s="10"/>
      <c r="D368" s="10"/>
      <c r="E368" s="10"/>
      <c r="F368" s="23"/>
      <c r="G368" s="23"/>
      <c r="H368" s="10"/>
      <c r="I368" s="10"/>
    </row>
    <row r="369" ht="15.75" customHeight="1">
      <c r="A369" s="10"/>
      <c r="B369" s="10"/>
      <c r="C369" s="10"/>
      <c r="D369" s="10"/>
      <c r="E369" s="10"/>
      <c r="F369" s="23"/>
      <c r="G369" s="23"/>
      <c r="H369" s="10"/>
      <c r="I369" s="10"/>
    </row>
    <row r="370" ht="15.75" customHeight="1">
      <c r="A370" s="10"/>
      <c r="B370" s="10"/>
      <c r="C370" s="10"/>
      <c r="D370" s="10"/>
      <c r="E370" s="10"/>
      <c r="F370" s="23"/>
      <c r="G370" s="23"/>
      <c r="H370" s="10"/>
      <c r="I370" s="10"/>
    </row>
    <row r="371" ht="15.75" customHeight="1">
      <c r="A371" s="10"/>
      <c r="B371" s="10"/>
      <c r="C371" s="10"/>
      <c r="D371" s="10"/>
      <c r="E371" s="10"/>
      <c r="F371" s="23"/>
      <c r="G371" s="23"/>
      <c r="H371" s="10"/>
      <c r="I371" s="10"/>
    </row>
    <row r="372" ht="15.75" customHeight="1">
      <c r="A372" s="10"/>
      <c r="B372" s="10"/>
      <c r="C372" s="10"/>
      <c r="D372" s="10"/>
      <c r="E372" s="10"/>
      <c r="F372" s="23"/>
      <c r="G372" s="23"/>
      <c r="H372" s="10"/>
      <c r="I372" s="10"/>
    </row>
    <row r="373" ht="15.75" customHeight="1">
      <c r="A373" s="10"/>
      <c r="B373" s="10"/>
      <c r="C373" s="10"/>
      <c r="D373" s="10"/>
      <c r="E373" s="10"/>
      <c r="F373" s="23"/>
      <c r="G373" s="23"/>
      <c r="H373" s="10"/>
      <c r="I373" s="10"/>
    </row>
    <row r="374" ht="15.75" customHeight="1">
      <c r="A374" s="10"/>
      <c r="B374" s="10"/>
      <c r="C374" s="10"/>
      <c r="D374" s="10"/>
      <c r="E374" s="10"/>
      <c r="F374" s="23"/>
      <c r="G374" s="23"/>
      <c r="H374" s="10"/>
      <c r="I374" s="10"/>
    </row>
    <row r="375" ht="15.75" customHeight="1">
      <c r="A375" s="10"/>
      <c r="B375" s="10"/>
      <c r="C375" s="10"/>
      <c r="D375" s="10"/>
      <c r="E375" s="10"/>
      <c r="F375" s="23"/>
      <c r="G375" s="23"/>
      <c r="H375" s="10"/>
      <c r="I375" s="10"/>
    </row>
    <row r="376" ht="15.75" customHeight="1">
      <c r="A376" s="10"/>
      <c r="B376" s="10"/>
      <c r="C376" s="10"/>
      <c r="D376" s="10"/>
      <c r="E376" s="10"/>
      <c r="F376" s="23"/>
      <c r="G376" s="23"/>
      <c r="H376" s="10"/>
      <c r="I376" s="10"/>
    </row>
    <row r="377" ht="15.75" customHeight="1">
      <c r="A377" s="10"/>
      <c r="B377" s="10"/>
      <c r="C377" s="10"/>
      <c r="D377" s="10"/>
      <c r="E377" s="10"/>
      <c r="F377" s="23"/>
      <c r="G377" s="23"/>
      <c r="H377" s="10"/>
      <c r="I377" s="10"/>
    </row>
    <row r="378" ht="15.75" customHeight="1">
      <c r="A378" s="10"/>
      <c r="B378" s="10"/>
      <c r="C378" s="10"/>
      <c r="D378" s="10"/>
      <c r="E378" s="10"/>
      <c r="F378" s="23"/>
      <c r="G378" s="23"/>
      <c r="H378" s="10"/>
      <c r="I378" s="10"/>
    </row>
    <row r="379" ht="15.75" customHeight="1">
      <c r="A379" s="10"/>
      <c r="B379" s="10"/>
      <c r="C379" s="10"/>
      <c r="D379" s="10"/>
      <c r="E379" s="10"/>
      <c r="F379" s="23"/>
      <c r="G379" s="23"/>
      <c r="H379" s="10"/>
      <c r="I379" s="10"/>
    </row>
    <row r="380" ht="15.75" customHeight="1">
      <c r="A380" s="10"/>
      <c r="B380" s="10"/>
      <c r="C380" s="10"/>
      <c r="D380" s="10"/>
      <c r="E380" s="10"/>
      <c r="F380" s="23"/>
      <c r="G380" s="23"/>
      <c r="H380" s="10"/>
      <c r="I380" s="10"/>
    </row>
    <row r="381" ht="15.75" customHeight="1">
      <c r="A381" s="10"/>
      <c r="B381" s="10"/>
      <c r="C381" s="10"/>
      <c r="D381" s="10"/>
      <c r="E381" s="10"/>
      <c r="F381" s="23"/>
      <c r="G381" s="23"/>
      <c r="H381" s="10"/>
      <c r="I381" s="10"/>
    </row>
    <row r="382" ht="15.75" customHeight="1">
      <c r="A382" s="10"/>
      <c r="B382" s="10"/>
      <c r="C382" s="10"/>
      <c r="D382" s="10"/>
      <c r="E382" s="10"/>
      <c r="F382" s="23"/>
      <c r="G382" s="23"/>
      <c r="H382" s="10"/>
      <c r="I382" s="10"/>
    </row>
    <row r="383" ht="15.75" customHeight="1">
      <c r="A383" s="10"/>
      <c r="B383" s="10"/>
      <c r="C383" s="10"/>
      <c r="D383" s="10"/>
      <c r="E383" s="10"/>
      <c r="F383" s="23"/>
      <c r="G383" s="23"/>
      <c r="H383" s="10"/>
      <c r="I383" s="10"/>
    </row>
    <row r="384" ht="15.75" customHeight="1">
      <c r="A384" s="10"/>
      <c r="B384" s="10"/>
      <c r="C384" s="10"/>
      <c r="D384" s="10"/>
      <c r="E384" s="10"/>
      <c r="F384" s="23"/>
      <c r="G384" s="23"/>
      <c r="H384" s="10"/>
      <c r="I384" s="10"/>
    </row>
    <row r="385" ht="15.75" customHeight="1">
      <c r="A385" s="10"/>
      <c r="B385" s="10"/>
      <c r="C385" s="10"/>
      <c r="D385" s="10"/>
      <c r="E385" s="10"/>
      <c r="F385" s="23"/>
      <c r="G385" s="23"/>
      <c r="H385" s="10"/>
      <c r="I385" s="10"/>
    </row>
    <row r="386" ht="15.75" customHeight="1">
      <c r="A386" s="10"/>
      <c r="B386" s="10"/>
      <c r="C386" s="10"/>
      <c r="D386" s="10"/>
      <c r="E386" s="10"/>
      <c r="F386" s="23"/>
      <c r="G386" s="23"/>
      <c r="H386" s="10"/>
      <c r="I386" s="10"/>
    </row>
    <row r="387" ht="15.75" customHeight="1">
      <c r="A387" s="10"/>
      <c r="B387" s="10"/>
      <c r="C387" s="10"/>
      <c r="D387" s="10"/>
      <c r="E387" s="10"/>
      <c r="F387" s="23"/>
      <c r="G387" s="23"/>
      <c r="H387" s="10"/>
      <c r="I387" s="10"/>
    </row>
    <row r="388" ht="15.75" customHeight="1">
      <c r="A388" s="10"/>
      <c r="B388" s="10"/>
      <c r="C388" s="10"/>
      <c r="D388" s="10"/>
      <c r="E388" s="10"/>
      <c r="F388" s="23"/>
      <c r="G388" s="23"/>
      <c r="H388" s="10"/>
      <c r="I388" s="10"/>
    </row>
    <row r="389" ht="15.75" customHeight="1">
      <c r="A389" s="10"/>
      <c r="B389" s="10"/>
      <c r="C389" s="10"/>
      <c r="D389" s="10"/>
      <c r="E389" s="10"/>
      <c r="F389" s="23"/>
      <c r="G389" s="23"/>
      <c r="H389" s="10"/>
      <c r="I389" s="10"/>
    </row>
    <row r="390" ht="15.75" customHeight="1">
      <c r="A390" s="10"/>
      <c r="B390" s="10"/>
      <c r="C390" s="10"/>
      <c r="D390" s="10"/>
      <c r="E390" s="10"/>
      <c r="F390" s="23"/>
      <c r="G390" s="23"/>
      <c r="H390" s="10"/>
      <c r="I390" s="10"/>
    </row>
    <row r="391" ht="15.75" customHeight="1">
      <c r="A391" s="10"/>
      <c r="B391" s="10"/>
      <c r="C391" s="10"/>
      <c r="D391" s="10"/>
      <c r="E391" s="10"/>
      <c r="F391" s="23"/>
      <c r="G391" s="23"/>
      <c r="H391" s="10"/>
      <c r="I391" s="10"/>
    </row>
    <row r="392" ht="15.75" customHeight="1">
      <c r="A392" s="10"/>
      <c r="B392" s="10"/>
      <c r="C392" s="10"/>
      <c r="D392" s="10"/>
      <c r="E392" s="10"/>
      <c r="F392" s="23"/>
      <c r="G392" s="23"/>
      <c r="H392" s="10"/>
      <c r="I392" s="10"/>
    </row>
    <row r="393" ht="15.75" customHeight="1">
      <c r="A393" s="10"/>
      <c r="B393" s="10"/>
      <c r="C393" s="10"/>
      <c r="D393" s="10"/>
      <c r="E393" s="10"/>
      <c r="F393" s="23"/>
      <c r="G393" s="23"/>
      <c r="H393" s="10"/>
      <c r="I393" s="10"/>
    </row>
    <row r="394" ht="15.75" customHeight="1">
      <c r="A394" s="10"/>
      <c r="B394" s="10"/>
      <c r="C394" s="10"/>
      <c r="D394" s="10"/>
      <c r="E394" s="10"/>
      <c r="F394" s="23"/>
      <c r="G394" s="23"/>
      <c r="H394" s="10"/>
      <c r="I394" s="10"/>
    </row>
    <row r="395" ht="15.75" customHeight="1">
      <c r="A395" s="10"/>
      <c r="B395" s="10"/>
      <c r="C395" s="10"/>
      <c r="D395" s="10"/>
      <c r="E395" s="10"/>
      <c r="F395" s="23"/>
      <c r="G395" s="23"/>
      <c r="H395" s="10"/>
      <c r="I395" s="10"/>
    </row>
    <row r="396" ht="15.75" customHeight="1">
      <c r="A396" s="10"/>
      <c r="B396" s="10"/>
      <c r="C396" s="10"/>
      <c r="D396" s="10"/>
      <c r="E396" s="10"/>
      <c r="F396" s="23"/>
      <c r="G396" s="23"/>
      <c r="H396" s="10"/>
      <c r="I396" s="10"/>
    </row>
    <row r="397" ht="15.75" customHeight="1">
      <c r="A397" s="10"/>
      <c r="B397" s="10"/>
      <c r="C397" s="10"/>
      <c r="D397" s="10"/>
      <c r="E397" s="10"/>
      <c r="F397" s="23"/>
      <c r="G397" s="23"/>
      <c r="H397" s="10"/>
      <c r="I397" s="10"/>
    </row>
    <row r="398" ht="15.75" customHeight="1">
      <c r="A398" s="10"/>
      <c r="B398" s="10"/>
      <c r="C398" s="10"/>
      <c r="D398" s="10"/>
      <c r="E398" s="10"/>
      <c r="F398" s="23"/>
      <c r="G398" s="23"/>
      <c r="H398" s="10"/>
      <c r="I398" s="10"/>
    </row>
    <row r="399" ht="15.75" customHeight="1">
      <c r="A399" s="10"/>
      <c r="B399" s="10"/>
      <c r="C399" s="10"/>
      <c r="D399" s="10"/>
      <c r="E399" s="10"/>
      <c r="F399" s="23"/>
      <c r="G399" s="23"/>
      <c r="H399" s="10"/>
      <c r="I399" s="10"/>
    </row>
    <row r="400" ht="15.75" customHeight="1">
      <c r="A400" s="10"/>
      <c r="B400" s="10"/>
      <c r="C400" s="10"/>
      <c r="D400" s="10"/>
      <c r="E400" s="10"/>
      <c r="F400" s="23"/>
      <c r="G400" s="23"/>
      <c r="H400" s="10"/>
      <c r="I400" s="10"/>
    </row>
    <row r="401" ht="15.75" customHeight="1"/>
    <row r="402" ht="15.75" customHeight="1">
      <c r="A402" s="13" t="s">
        <v>2157</v>
      </c>
    </row>
    <row r="403" ht="15.75" customHeight="1">
      <c r="A403" s="13" t="s">
        <v>2159</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4" t="s">
        <v>1327</v>
      </c>
      <c r="B1" s="4" t="s">
        <v>1332</v>
      </c>
      <c r="C1" s="4" t="s">
        <v>1335</v>
      </c>
      <c r="D1" s="4" t="s">
        <v>1337</v>
      </c>
      <c r="E1" s="4" t="s">
        <v>1341</v>
      </c>
      <c r="F1" s="4" t="s">
        <v>1343</v>
      </c>
    </row>
    <row r="2">
      <c r="A2" s="10" t="s">
        <v>1345</v>
      </c>
      <c r="B2" s="10" t="s">
        <v>1346</v>
      </c>
      <c r="C2" s="10" t="s">
        <v>1357</v>
      </c>
      <c r="D2" s="10" t="s">
        <v>1363</v>
      </c>
      <c r="E2" s="10" t="s">
        <v>1364</v>
      </c>
      <c r="F2" s="10" t="s">
        <v>48</v>
      </c>
    </row>
    <row r="3">
      <c r="A3" s="10" t="s">
        <v>1367</v>
      </c>
      <c r="B3" s="10" t="s">
        <v>1369</v>
      </c>
      <c r="C3" s="10" t="s">
        <v>1370</v>
      </c>
      <c r="D3" s="10" t="s">
        <v>1372</v>
      </c>
      <c r="E3" s="10" t="s">
        <v>1374</v>
      </c>
      <c r="F3" s="10" t="s">
        <v>48</v>
      </c>
    </row>
    <row r="4">
      <c r="A4" s="10" t="s">
        <v>1377</v>
      </c>
      <c r="B4" s="10" t="s">
        <v>1378</v>
      </c>
      <c r="C4" s="10" t="s">
        <v>1379</v>
      </c>
      <c r="D4" s="10" t="s">
        <v>1381</v>
      </c>
      <c r="E4" s="10" t="s">
        <v>1382</v>
      </c>
      <c r="F4" s="10" t="s">
        <v>48</v>
      </c>
    </row>
    <row r="5">
      <c r="A5" s="10" t="s">
        <v>1385</v>
      </c>
      <c r="B5" s="10" t="s">
        <v>1386</v>
      </c>
      <c r="C5" s="10" t="s">
        <v>1387</v>
      </c>
      <c r="D5" s="10" t="s">
        <v>1388</v>
      </c>
      <c r="E5" s="10" t="s">
        <v>1389</v>
      </c>
      <c r="F5" s="10" t="s">
        <v>48</v>
      </c>
    </row>
    <row r="6">
      <c r="A6" s="10" t="s">
        <v>1391</v>
      </c>
      <c r="B6" s="10" t="s">
        <v>1394</v>
      </c>
      <c r="C6" s="10" t="s">
        <v>1397</v>
      </c>
      <c r="D6" s="10" t="s">
        <v>1399</v>
      </c>
      <c r="E6" s="10" t="s">
        <v>1400</v>
      </c>
      <c r="F6" s="10" t="s">
        <v>48</v>
      </c>
    </row>
    <row r="7">
      <c r="A7" s="10" t="s">
        <v>1402</v>
      </c>
      <c r="B7" s="10" t="s">
        <v>1404</v>
      </c>
      <c r="C7" s="10" t="s">
        <v>1408</v>
      </c>
      <c r="D7" s="10" t="s">
        <v>1409</v>
      </c>
      <c r="E7" s="10" t="s">
        <v>1410</v>
      </c>
      <c r="F7" s="10" t="s">
        <v>48</v>
      </c>
    </row>
    <row r="8">
      <c r="C8" s="24"/>
      <c r="D8" s="24"/>
      <c r="F8" s="24"/>
    </row>
    <row r="9">
      <c r="A9" s="13" t="s">
        <v>1415</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s>
  <printOptions/>
  <pageMargins bottom="1.0" footer="0.0" header="0.0" left="0.75" right="0.75" top="1.0"/>
  <pageSetup orientation="landscape"/>
  <drawing r:id="rId1"/>
</worksheet>
</file>