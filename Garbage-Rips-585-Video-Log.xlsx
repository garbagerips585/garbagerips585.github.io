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_xlnm._FilterDatabase" localSheetId="2" hidden="1">'Video Log'!$A$1:$AE$314</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S1" authorId="0" shapeId="0">
      <text>
        <t>COMPUTED. Do not type here.
It adds up Packs, Packs 2, Packs 3, Packs 4 and Packs 5.
Put the count for each set in that set's own Packs column and this
adds itself up. Typing over it deletes the sum for that row.</t>
      </text>
    </comment>
    <comment ref="U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V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W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Greatest Hits</t>
        </is>
      </c>
      <c r="B31" s="3" t="inlineStr">
        <is>
          <t>Mark Yes on the RIPS you want in the gold section at the top of the home page. Rank orders them, 1 first. Leave Rank blank and the site orders by rarity then views. These are videos.</t>
        </is>
      </c>
    </row>
    <row r="32"/>
    <row r="33" ht="30" customHeight="1">
      <c r="A33" s="2" t="inlineStr">
        <is>
          <t>Card Hall of Fame</t>
        </is>
      </c>
      <c r="B33"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4"/>
    <row r="35" ht="30" customHeight="1">
      <c r="A35" s="2" t="inlineStr">
        <is>
          <t>PSA 10 prices</t>
        </is>
      </c>
      <c r="B35" s="3" t="inlineStr">
        <is>
          <t>Put in a number you have actually seen, set PSA 10 Checked to the date you checked it (2026-08-11 format), and name the source. A graded price with no date is not a fact about anything, and a blank shows nothing rather than a guess.</t>
        </is>
      </c>
    </row>
    <row r="36"/>
    <row r="37" ht="30" customHeight="1">
      <c r="A37" s="5" t="inlineStr">
        <is>
          <t>Careful</t>
        </is>
      </c>
      <c r="B37"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ACE SPEC Rare</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Super Rare</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C11" s="7" t="inlineStr">
        <is>
          <t>Charizard</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C12" s="7" t="inlineStr">
        <is>
          <t>More than one</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C13" s="7" t="inlineStr">
        <is>
          <t>No hit</t>
        </is>
      </c>
      <c r="F13" s="7" t="inlineStr">
        <is>
          <t>Destined Rivals</t>
        </is>
      </c>
      <c r="G13" s="7" t="inlineStr">
        <is>
          <t>Amoonguss</t>
        </is>
      </c>
      <c r="K13" s="7" t="inlineStr">
        <is>
          <t>12</t>
        </is>
      </c>
    </row>
    <row r="14">
      <c r="A14" s="7" t="inlineStr">
        <is>
          <t>Stellar Crown</t>
        </is>
      </c>
      <c r="B14" s="7" t="inlineStr">
        <is>
          <t>Knock Out Collection</t>
        </is>
      </c>
      <c r="F14" s="7" t="inlineStr">
        <is>
          <t>Journey Together Booster Bundle</t>
        </is>
      </c>
      <c r="G14" s="7" t="inlineStr">
        <is>
          <t>Applin</t>
        </is>
      </c>
      <c r="K14" s="7" t="inlineStr">
        <is>
          <t>13</t>
        </is>
      </c>
    </row>
    <row r="15">
      <c r="A15" s="7" t="inlineStr">
        <is>
          <t>Shrouded Fable</t>
        </is>
      </c>
      <c r="B15" s="7" t="inlineStr">
        <is>
          <t>Blister</t>
        </is>
      </c>
      <c r="F15" s="7" t="inlineStr">
        <is>
          <t>Mega Charizard Y EX Tin</t>
        </is>
      </c>
      <c r="G15" s="7" t="inlineStr">
        <is>
          <t>Arbok</t>
        </is>
      </c>
      <c r="K15" s="7" t="inlineStr">
        <is>
          <t>14</t>
        </is>
      </c>
    </row>
    <row r="16">
      <c r="A16" s="7" t="inlineStr">
        <is>
          <t>Twilight Masquerade</t>
        </is>
      </c>
      <c r="B16" s="7" t="inlineStr">
        <is>
          <t>Japanese Booster Pack</t>
        </is>
      </c>
      <c r="F16" s="7" t="inlineStr">
        <is>
          <t>Mega Emboar ex Box</t>
        </is>
      </c>
      <c r="G16" s="7" t="inlineStr">
        <is>
          <t>Arcanine ex</t>
        </is>
      </c>
      <c r="K16" s="7" t="inlineStr">
        <is>
          <t>15</t>
        </is>
      </c>
    </row>
    <row r="17">
      <c r="A17" s="7" t="inlineStr">
        <is>
          <t>Temporal Forces</t>
        </is>
      </c>
      <c r="B17" s="7" t="inlineStr">
        <is>
          <t>Korean Booster Pack</t>
        </is>
      </c>
      <c r="F17" s="7" t="inlineStr">
        <is>
          <t>Mega Feraligatr ex Box</t>
        </is>
      </c>
      <c r="G17" s="7" t="inlineStr">
        <is>
          <t>Archaludon ex</t>
        </is>
      </c>
      <c r="K17" s="7" t="inlineStr">
        <is>
          <t>16</t>
        </is>
      </c>
    </row>
    <row r="18">
      <c r="A18" s="7" t="inlineStr">
        <is>
          <t>Paldean Fates</t>
        </is>
      </c>
      <c r="B18" s="7" t="inlineStr">
        <is>
          <t>Chinese Booster Pack</t>
        </is>
      </c>
      <c r="F18" s="7" t="inlineStr">
        <is>
          <t>Mega Heroes Mini Tin</t>
        </is>
      </c>
      <c r="G18" s="7" t="inlineStr">
        <is>
          <t>Archen</t>
        </is>
      </c>
      <c r="K18" s="7" t="inlineStr">
        <is>
          <t>17</t>
        </is>
      </c>
    </row>
    <row r="19">
      <c r="A19" s="7" t="inlineStr">
        <is>
          <t>Paradox Rift</t>
        </is>
      </c>
      <c r="B19" s="7" t="inlineStr">
        <is>
          <t>Other</t>
        </is>
      </c>
      <c r="F19" s="7" t="inlineStr">
        <is>
          <t>Mega Meganium Box : Where are the hits</t>
        </is>
      </c>
      <c r="G19" s="7" t="inlineStr">
        <is>
          <t>Archeops</t>
        </is>
      </c>
      <c r="K19" s="7" t="inlineStr">
        <is>
          <t>18</t>
        </is>
      </c>
    </row>
    <row r="20">
      <c r="A20" s="7" t="inlineStr">
        <is>
          <t>151</t>
        </is>
      </c>
      <c r="F20" s="7" t="inlineStr">
        <is>
          <t>Mega Meganium ex Box</t>
        </is>
      </c>
      <c r="G20" s="7" t="inlineStr">
        <is>
          <t>Arctibax</t>
        </is>
      </c>
      <c r="K20" s="7" t="inlineStr">
        <is>
          <t>19</t>
        </is>
      </c>
    </row>
    <row r="21">
      <c r="A21" s="7" t="inlineStr">
        <is>
          <t>Obsidian Flames</t>
        </is>
      </c>
      <c r="F21" s="7" t="inlineStr">
        <is>
          <t>Mega Venusaur ex Premium Collection Opening</t>
        </is>
      </c>
      <c r="G21" s="7" t="inlineStr">
        <is>
          <t>Armarouge</t>
        </is>
      </c>
      <c r="K21" s="7" t="inlineStr">
        <is>
          <t>20</t>
        </is>
      </c>
    </row>
    <row r="22">
      <c r="A22" s="7" t="inlineStr">
        <is>
          <t>Paldea Evolved</t>
        </is>
      </c>
      <c r="F22" s="7" t="inlineStr">
        <is>
          <t>Mega Zygarde ex Premium Collection</t>
        </is>
      </c>
      <c r="G22" s="7" t="inlineStr">
        <is>
          <t>Articuno</t>
        </is>
      </c>
    </row>
    <row r="23">
      <c r="A23" s="7" t="inlineStr">
        <is>
          <t>Scarlet &amp; Violet</t>
        </is>
      </c>
      <c r="F23" s="7" t="inlineStr">
        <is>
          <t>Perfect Order 3-Pack Blister</t>
        </is>
      </c>
      <c r="G23" s="7" t="inlineStr">
        <is>
          <t>Arven's Mabosstiff ex</t>
        </is>
      </c>
    </row>
    <row r="24">
      <c r="A24" s="7" t="inlineStr">
        <is>
          <t>Crown Zenith</t>
        </is>
      </c>
      <c r="F24" s="7" t="inlineStr">
        <is>
          <t>Perfect Order Booster Bundle</t>
        </is>
      </c>
      <c r="G24" s="7" t="inlineStr">
        <is>
          <t>Audino</t>
        </is>
      </c>
    </row>
    <row r="25">
      <c r="A25" s="7" t="inlineStr">
        <is>
          <t>Pokémon GO</t>
        </is>
      </c>
      <c r="F25" s="7" t="inlineStr">
        <is>
          <t>Perfect Order ETB</t>
        </is>
      </c>
      <c r="G25" s="7" t="inlineStr">
        <is>
          <t>Axew</t>
        </is>
      </c>
    </row>
    <row r="26">
      <c r="A26" s="7" t="inlineStr">
        <is>
          <t>Celebrations</t>
        </is>
      </c>
      <c r="F26" s="7" t="inlineStr">
        <is>
          <t>Prismatic Evolutions ETB</t>
        </is>
      </c>
      <c r="G26" s="7" t="inlineStr">
        <is>
          <t>Banette</t>
        </is>
      </c>
    </row>
    <row r="27">
      <c r="A27" s="7" t="inlineStr">
        <is>
          <t>Chilling Reign</t>
        </is>
      </c>
      <c r="F27" s="7" t="inlineStr">
        <is>
          <t>Prismatic Evolutions Mini Tin</t>
        </is>
      </c>
      <c r="G27" s="7" t="inlineStr">
        <is>
          <t>Basic Darkness Energy</t>
        </is>
      </c>
    </row>
    <row r="28">
      <c r="A28" s="7" t="inlineStr">
        <is>
          <t>Shining Fates</t>
        </is>
      </c>
      <c r="F28" s="7" t="inlineStr">
        <is>
          <t>Prismatic Evolutions Poster Collection</t>
        </is>
      </c>
      <c r="G28" s="7" t="inlineStr">
        <is>
          <t>Basic Metal Energy</t>
        </is>
      </c>
    </row>
    <row r="29">
      <c r="A29" s="7" t="inlineStr">
        <is>
          <t>Rebel Clash</t>
        </is>
      </c>
      <c r="F29" s="7" t="inlineStr">
        <is>
          <t>Prismatic Evolutions Tech Sticker Collection</t>
        </is>
      </c>
      <c r="G29" s="7" t="inlineStr">
        <is>
          <t>Baxcalibur</t>
        </is>
      </c>
    </row>
    <row r="30">
      <c r="A30" s="7" t="inlineStr">
        <is>
          <t>Abyss Eye (JP)</t>
        </is>
      </c>
      <c r="F30" s="7" t="inlineStr">
        <is>
          <t>Trick or Trade BOOster Bundle</t>
        </is>
      </c>
      <c r="G30" s="7" t="inlineStr">
        <is>
          <t>Bewear</t>
        </is>
      </c>
    </row>
    <row r="31">
      <c r="A31" s="7" t="inlineStr">
        <is>
          <t>Battle Partners (KR)</t>
        </is>
      </c>
      <c r="F31" s="7" t="inlineStr">
        <is>
          <t>Victini Illustration Collection</t>
        </is>
      </c>
      <c r="G31" s="7" t="inlineStr">
        <is>
          <t>Bianca's Devotion</t>
        </is>
      </c>
    </row>
    <row r="32">
      <c r="A32" s="7" t="inlineStr">
        <is>
          <t>Clay Burst (KR)</t>
        </is>
      </c>
      <c r="G32" s="7" t="inlineStr">
        <is>
          <t>Bisharp</t>
        </is>
      </c>
    </row>
    <row r="33">
      <c r="A33" s="7" t="inlineStr">
        <is>
          <t>Crimson Haze (KR)</t>
        </is>
      </c>
      <c r="G33" s="7" t="inlineStr">
        <is>
          <t>Blastoise ex</t>
        </is>
      </c>
    </row>
    <row r="34">
      <c r="A34" s="7" t="inlineStr">
        <is>
          <t>Cyber Judge (JP)</t>
        </is>
      </c>
      <c r="G34" s="7" t="inlineStr">
        <is>
          <t>Blaziken V</t>
        </is>
      </c>
    </row>
    <row r="35">
      <c r="A35" s="7" t="inlineStr">
        <is>
          <t>Gem Pack Vol. 2 (CN)</t>
        </is>
      </c>
      <c r="G35" s="7" t="inlineStr">
        <is>
          <t>Blaziken VMAX</t>
        </is>
      </c>
    </row>
    <row r="36">
      <c r="A36" s="7" t="inlineStr">
        <is>
          <t>Mask of Change (KR)</t>
        </is>
      </c>
      <c r="G36" s="7" t="inlineStr">
        <is>
          <t>Blissey V</t>
        </is>
      </c>
    </row>
    <row r="37">
      <c r="A37" s="7" t="inlineStr">
        <is>
          <t>Mega Brave (JP)</t>
        </is>
      </c>
      <c r="G37" s="7" t="inlineStr">
        <is>
          <t>Blitzle</t>
        </is>
      </c>
    </row>
    <row r="38">
      <c r="A38" s="7" t="inlineStr">
        <is>
          <t>Mega Symphonia (JP)</t>
        </is>
      </c>
      <c r="G38" s="7" t="inlineStr">
        <is>
          <t>Bloodmoon Ursaluna ex</t>
        </is>
      </c>
    </row>
    <row r="39">
      <c r="A39" s="7" t="inlineStr">
        <is>
          <t>Nihil Zero (JP)</t>
        </is>
      </c>
      <c r="G39" s="7" t="inlineStr">
        <is>
          <t>Boss's Orders</t>
        </is>
      </c>
    </row>
    <row r="40">
      <c r="A40" s="7" t="inlineStr">
        <is>
          <t>Ninja Spinner (JP)</t>
        </is>
      </c>
      <c r="G40" s="7" t="inlineStr">
        <is>
          <t>Boss's Orders (Giovanni)</t>
        </is>
      </c>
    </row>
    <row r="41">
      <c r="A41" s="7" t="inlineStr">
        <is>
          <t>Stellar Miracle (JP)</t>
        </is>
      </c>
      <c r="G41" s="7" t="inlineStr">
        <is>
          <t>Bouffalant ex</t>
        </is>
      </c>
    </row>
    <row r="42">
      <c r="A42" s="7" t="inlineStr">
        <is>
          <t>Violet ex (JP)</t>
        </is>
      </c>
      <c r="G42" s="7" t="inlineStr">
        <is>
          <t>Briar</t>
        </is>
      </c>
    </row>
    <row r="43">
      <c r="A43" s="7" t="inlineStr">
        <is>
          <t>Multiple sets</t>
        </is>
      </c>
      <c r="G43" s="7" t="inlineStr">
        <is>
          <t>Brute Bonnet</t>
        </is>
      </c>
    </row>
    <row r="44">
      <c r="A44" s="7" t="inlineStr">
        <is>
          <t>Not a set (sealed/other)</t>
        </is>
      </c>
      <c r="G44" s="7" t="inlineStr">
        <is>
          <t>Buddy-Buddy Poffin</t>
        </is>
      </c>
    </row>
    <row r="45">
      <c r="G45" s="7" t="inlineStr">
        <is>
          <t>Bulbasaur</t>
        </is>
      </c>
    </row>
    <row r="46">
      <c r="G46" s="7" t="inlineStr">
        <is>
          <t>Caitlin</t>
        </is>
      </c>
    </row>
    <row r="47">
      <c r="G47" s="7" t="inlineStr">
        <is>
          <t>Canari</t>
        </is>
      </c>
    </row>
    <row r="48">
      <c r="G48" s="7" t="inlineStr">
        <is>
          <t>Carmine</t>
        </is>
      </c>
    </row>
    <row r="49">
      <c r="G49" s="7" t="inlineStr">
        <is>
          <t>Carracosta</t>
        </is>
      </c>
    </row>
    <row r="50">
      <c r="G50" s="7" t="inlineStr">
        <is>
          <t>Cassiopeia</t>
        </is>
      </c>
    </row>
    <row r="51">
      <c r="G51" s="7" t="inlineStr">
        <is>
          <t>Caterpie</t>
        </is>
      </c>
    </row>
    <row r="52">
      <c r="G52" s="7" t="inlineStr">
        <is>
          <t>Celebi V</t>
        </is>
      </c>
    </row>
    <row r="53">
      <c r="G53" s="7" t="inlineStr">
        <is>
          <t>Celebi VMAX</t>
        </is>
      </c>
    </row>
    <row r="54">
      <c r="G54" s="7" t="inlineStr">
        <is>
          <t>Ceruledge</t>
        </is>
      </c>
    </row>
    <row r="55">
      <c r="G55" s="7" t="inlineStr">
        <is>
          <t>Ceruledge ex</t>
        </is>
      </c>
    </row>
    <row r="56">
      <c r="G56" s="7" t="inlineStr">
        <is>
          <t>Chandelure</t>
        </is>
      </c>
    </row>
    <row r="57">
      <c r="G57" s="7" t="inlineStr">
        <is>
          <t>Chansey</t>
        </is>
      </c>
    </row>
    <row r="58">
      <c r="G58" s="7" t="inlineStr">
        <is>
          <t>Charizard ex</t>
        </is>
      </c>
    </row>
    <row r="59">
      <c r="G59" s="7" t="inlineStr">
        <is>
          <t>Charmander</t>
        </is>
      </c>
    </row>
    <row r="60">
      <c r="G60" s="7" t="inlineStr">
        <is>
          <t>Charmeleon</t>
        </is>
      </c>
    </row>
    <row r="61">
      <c r="G61" s="7" t="inlineStr">
        <is>
          <t>Chi-Yu ex</t>
        </is>
      </c>
    </row>
    <row r="62">
      <c r="G62" s="7" t="inlineStr">
        <is>
          <t>Chien-Pao ex</t>
        </is>
      </c>
    </row>
    <row r="63">
      <c r="G63" s="7" t="inlineStr">
        <is>
          <t>Cinccino</t>
        </is>
      </c>
    </row>
    <row r="64">
      <c r="G64" s="7" t="inlineStr">
        <is>
          <t>Cinccino ex</t>
        </is>
      </c>
    </row>
    <row r="65">
      <c r="G65" s="7" t="inlineStr">
        <is>
          <t>Cinderace VMAX</t>
        </is>
      </c>
    </row>
    <row r="66">
      <c r="G66" s="7" t="inlineStr">
        <is>
          <t>Clefairy</t>
        </is>
      </c>
    </row>
    <row r="67">
      <c r="G67" s="7" t="inlineStr">
        <is>
          <t>Cleffa</t>
        </is>
      </c>
    </row>
    <row r="68">
      <c r="G68" s="7" t="inlineStr">
        <is>
          <t>Clive</t>
        </is>
      </c>
    </row>
    <row r="69">
      <c r="G69" s="7" t="inlineStr">
        <is>
          <t>Cobalion</t>
        </is>
      </c>
    </row>
    <row r="70">
      <c r="G70" s="7" t="inlineStr">
        <is>
          <t>Cofagrigus</t>
        </is>
      </c>
    </row>
    <row r="71">
      <c r="G71" s="7" t="inlineStr">
        <is>
          <t>Conkeldurr</t>
        </is>
      </c>
    </row>
    <row r="72">
      <c r="G72" s="7" t="inlineStr">
        <is>
          <t>Cornerstone Mask Ogerpon ex</t>
        </is>
      </c>
    </row>
    <row r="73">
      <c r="G73" s="7" t="inlineStr">
        <is>
          <t>Cresselia</t>
        </is>
      </c>
    </row>
    <row r="74">
      <c r="G74" s="7" t="inlineStr">
        <is>
          <t>Crispin</t>
        </is>
      </c>
    </row>
    <row r="75">
      <c r="G75" s="7" t="inlineStr">
        <is>
          <t>Crocalor</t>
        </is>
      </c>
    </row>
    <row r="76">
      <c r="G76" s="7" t="inlineStr">
        <is>
          <t>Cubchoo</t>
        </is>
      </c>
    </row>
    <row r="77">
      <c r="G77" s="7" t="inlineStr">
        <is>
          <t>Cufant</t>
        </is>
      </c>
    </row>
    <row r="78">
      <c r="G78" s="7" t="inlineStr">
        <is>
          <t>Cynthia's Garchomp ex</t>
        </is>
      </c>
    </row>
    <row r="79">
      <c r="G79" s="7" t="inlineStr">
        <is>
          <t>Cynthia's Roserade</t>
        </is>
      </c>
    </row>
    <row r="80">
      <c r="G80" s="7" t="inlineStr">
        <is>
          <t>Dachsbun ex</t>
        </is>
      </c>
    </row>
    <row r="81">
      <c r="G81" s="7" t="inlineStr">
        <is>
          <t>Darmanitan</t>
        </is>
      </c>
    </row>
    <row r="82">
      <c r="G82" s="7" t="inlineStr">
        <is>
          <t>Darumaka</t>
        </is>
      </c>
    </row>
    <row r="83">
      <c r="G83" s="7" t="inlineStr">
        <is>
          <t>Dawn</t>
        </is>
      </c>
    </row>
    <row r="84">
      <c r="G84" s="7" t="inlineStr">
        <is>
          <t>Dedenne ex</t>
        </is>
      </c>
    </row>
    <row r="85">
      <c r="G85" s="7" t="inlineStr">
        <is>
          <t>Deerling</t>
        </is>
      </c>
    </row>
    <row r="86">
      <c r="G86" s="7" t="inlineStr">
        <is>
          <t>Deino</t>
        </is>
      </c>
    </row>
    <row r="87">
      <c r="G87" s="7" t="inlineStr">
        <is>
          <t>Dewott</t>
        </is>
      </c>
    </row>
    <row r="88">
      <c r="G88" s="7" t="inlineStr">
        <is>
          <t>Dipplin</t>
        </is>
      </c>
    </row>
    <row r="89">
      <c r="G89" s="7" t="inlineStr">
        <is>
          <t>Ditto</t>
        </is>
      </c>
    </row>
    <row r="90">
      <c r="G90" s="7" t="inlineStr">
        <is>
          <t>Dondozo</t>
        </is>
      </c>
    </row>
    <row r="91">
      <c r="G91" s="7" t="inlineStr">
        <is>
          <t>Dragapult V</t>
        </is>
      </c>
    </row>
    <row r="92">
      <c r="G92" s="7" t="inlineStr">
        <is>
          <t>Dragapult VMAX</t>
        </is>
      </c>
    </row>
    <row r="93">
      <c r="G93" s="7" t="inlineStr">
        <is>
          <t>Dragapult ex</t>
        </is>
      </c>
    </row>
    <row r="94">
      <c r="G94" s="7" t="inlineStr">
        <is>
          <t>Dragonair</t>
        </is>
      </c>
    </row>
    <row r="95">
      <c r="G95" s="7" t="inlineStr">
        <is>
          <t>Dragonite V</t>
        </is>
      </c>
    </row>
    <row r="96">
      <c r="G96" s="7" t="inlineStr">
        <is>
          <t>Dragonite VSTAR</t>
        </is>
      </c>
    </row>
    <row r="97">
      <c r="G97" s="7" t="inlineStr">
        <is>
          <t>Drampa</t>
        </is>
      </c>
    </row>
    <row r="98">
      <c r="G98" s="7" t="inlineStr">
        <is>
          <t>Drayton</t>
        </is>
      </c>
    </row>
    <row r="99">
      <c r="G99" s="7" t="inlineStr">
        <is>
          <t>Drowzee</t>
        </is>
      </c>
    </row>
    <row r="100">
      <c r="G100" s="7" t="inlineStr">
        <is>
          <t>Druddigon</t>
        </is>
      </c>
    </row>
    <row r="101">
      <c r="G101" s="7" t="inlineStr">
        <is>
          <t>Ducklett</t>
        </is>
      </c>
    </row>
    <row r="102">
      <c r="G102" s="7" t="inlineStr">
        <is>
          <t>Dudunsparce</t>
        </is>
      </c>
    </row>
    <row r="103">
      <c r="G103" s="7" t="inlineStr">
        <is>
          <t>Duosion</t>
        </is>
      </c>
    </row>
    <row r="104">
      <c r="G104" s="7" t="inlineStr">
        <is>
          <t>Durant</t>
        </is>
      </c>
    </row>
    <row r="105">
      <c r="G105" s="7" t="inlineStr">
        <is>
          <t>Durant ex</t>
        </is>
      </c>
    </row>
    <row r="106">
      <c r="G106" s="7" t="inlineStr">
        <is>
          <t>Dusclops</t>
        </is>
      </c>
    </row>
    <row r="107">
      <c r="G107" s="7" t="inlineStr">
        <is>
          <t>Dusknoir</t>
        </is>
      </c>
    </row>
    <row r="108">
      <c r="G108" s="7" t="inlineStr">
        <is>
          <t>Duskull</t>
        </is>
      </c>
    </row>
    <row r="109">
      <c r="G109" s="7" t="inlineStr">
        <is>
          <t>Dwebble</t>
        </is>
      </c>
    </row>
    <row r="110">
      <c r="G110" s="7" t="inlineStr">
        <is>
          <t>Earthen Vessel</t>
        </is>
      </c>
    </row>
    <row r="111">
      <c r="G111" s="7" t="inlineStr">
        <is>
          <t>Eelektrik</t>
        </is>
      </c>
    </row>
    <row r="112">
      <c r="G112" s="7" t="inlineStr">
        <is>
          <t>Eelektross</t>
        </is>
      </c>
    </row>
    <row r="113">
      <c r="G113" s="7" t="inlineStr">
        <is>
          <t>Eevee</t>
        </is>
      </c>
    </row>
    <row r="114">
      <c r="G114" s="7" t="inlineStr">
        <is>
          <t>Eevee ex</t>
        </is>
      </c>
    </row>
    <row r="115">
      <c r="G115" s="7" t="inlineStr">
        <is>
          <t>Eiscue</t>
        </is>
      </c>
    </row>
    <row r="116">
      <c r="G116" s="7" t="inlineStr">
        <is>
          <t>Electrode</t>
        </is>
      </c>
    </row>
    <row r="117">
      <c r="G117" s="7" t="inlineStr">
        <is>
          <t>Elesa's Sparkle</t>
        </is>
      </c>
    </row>
    <row r="118">
      <c r="G118" s="7" t="inlineStr">
        <is>
          <t>Elgyem</t>
        </is>
      </c>
    </row>
    <row r="119">
      <c r="G119" s="7" t="inlineStr">
        <is>
          <t>Emboar</t>
        </is>
      </c>
    </row>
    <row r="120">
      <c r="G120" s="7" t="inlineStr">
        <is>
          <t>Emolga</t>
        </is>
      </c>
    </row>
    <row r="121">
      <c r="G121" s="7" t="inlineStr">
        <is>
          <t>Entei</t>
        </is>
      </c>
    </row>
    <row r="122">
      <c r="G122" s="7" t="inlineStr">
        <is>
          <t>Eri</t>
        </is>
      </c>
    </row>
    <row r="123">
      <c r="G123" s="7" t="inlineStr">
        <is>
          <t>Erika's Invitation</t>
        </is>
      </c>
    </row>
    <row r="124">
      <c r="G124" s="7" t="inlineStr">
        <is>
          <t>Erika's Tangela</t>
        </is>
      </c>
    </row>
    <row r="125">
      <c r="G125" s="7" t="inlineStr">
        <is>
          <t>Escavalier</t>
        </is>
      </c>
    </row>
    <row r="126">
      <c r="G126" s="7" t="inlineStr">
        <is>
          <t>Espeon ex</t>
        </is>
      </c>
    </row>
    <row r="127">
      <c r="G127" s="7" t="inlineStr">
        <is>
          <t>Ethan's Adventure</t>
        </is>
      </c>
    </row>
    <row r="128">
      <c r="G128" s="7" t="inlineStr">
        <is>
          <t>Ethan's Ho-Oh ex</t>
        </is>
      </c>
    </row>
    <row r="129">
      <c r="G129" s="7" t="inlineStr">
        <is>
          <t>Ethan's Typhlosion</t>
        </is>
      </c>
    </row>
    <row r="130">
      <c r="G130" s="7" t="inlineStr">
        <is>
          <t>Excadrill</t>
        </is>
      </c>
    </row>
    <row r="131">
      <c r="G131" s="7" t="inlineStr">
        <is>
          <t>Excadrill ex</t>
        </is>
      </c>
    </row>
    <row r="132">
      <c r="G132" s="7" t="inlineStr">
        <is>
          <t>Farigiraf</t>
        </is>
      </c>
    </row>
    <row r="133">
      <c r="G133" s="7" t="inlineStr">
        <is>
          <t>Ferrothorn</t>
        </is>
      </c>
    </row>
    <row r="134">
      <c r="G134" s="7" t="inlineStr">
        <is>
          <t>Fezandipiti</t>
        </is>
      </c>
    </row>
    <row r="135">
      <c r="G135" s="7" t="inlineStr">
        <is>
          <t>Fezandipiti ex</t>
        </is>
      </c>
    </row>
    <row r="136">
      <c r="G136" s="7" t="inlineStr">
        <is>
          <t>Fidough</t>
        </is>
      </c>
    </row>
    <row r="137">
      <c r="G137" s="7" t="inlineStr">
        <is>
          <t>Fighting Energy</t>
        </is>
      </c>
    </row>
    <row r="138">
      <c r="G138" s="7" t="inlineStr">
        <is>
          <t>Flamigo</t>
        </is>
      </c>
    </row>
    <row r="139">
      <c r="G139" s="7" t="inlineStr">
        <is>
          <t>Flannery</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Frosmoth</t>
        </is>
      </c>
    </row>
    <row r="148">
      <c r="G148" s="7" t="inlineStr">
        <is>
          <t>Fuecoco</t>
        </is>
      </c>
    </row>
    <row r="149">
      <c r="G149" s="7" t="inlineStr">
        <is>
          <t>Galarian Articuno V</t>
        </is>
      </c>
    </row>
    <row r="150">
      <c r="G150" s="7" t="inlineStr">
        <is>
          <t>Galarian Moltres V</t>
        </is>
      </c>
    </row>
    <row r="151">
      <c r="G151" s="7" t="inlineStr">
        <is>
          <t>Galarian Rapidash V</t>
        </is>
      </c>
    </row>
    <row r="152">
      <c r="G152" s="7" t="inlineStr">
        <is>
          <t>Galarian Slowking V</t>
        </is>
      </c>
    </row>
    <row r="153">
      <c r="G153" s="7" t="inlineStr">
        <is>
          <t>Galarian Zapdos V</t>
        </is>
      </c>
    </row>
    <row r="154">
      <c r="G154" s="7" t="inlineStr">
        <is>
          <t>Galvantula</t>
        </is>
      </c>
    </row>
    <row r="155">
      <c r="G155" s="7" t="inlineStr">
        <is>
          <t>Galvantula ex</t>
        </is>
      </c>
    </row>
    <row r="156">
      <c r="G156" s="7" t="inlineStr">
        <is>
          <t>Garbodor</t>
        </is>
      </c>
    </row>
    <row r="157">
      <c r="G157" s="7" t="inlineStr">
        <is>
          <t>Garchomp ex</t>
        </is>
      </c>
    </row>
    <row r="158">
      <c r="G158" s="7" t="inlineStr">
        <is>
          <t>Gardevoir ex</t>
        </is>
      </c>
    </row>
    <row r="159">
      <c r="G159" s="7" t="inlineStr">
        <is>
          <t>Gastly</t>
        </is>
      </c>
    </row>
    <row r="160">
      <c r="G160" s="7" t="inlineStr">
        <is>
          <t>Genesect ex</t>
        </is>
      </c>
    </row>
    <row r="161">
      <c r="G161" s="7" t="inlineStr">
        <is>
          <t>Gengar ex</t>
        </is>
      </c>
    </row>
    <row r="162">
      <c r="G162" s="7" t="inlineStr">
        <is>
          <t>Gholdengo ex</t>
        </is>
      </c>
    </row>
    <row r="163">
      <c r="G163" s="7" t="inlineStr">
        <is>
          <t>Gigalith</t>
        </is>
      </c>
    </row>
    <row r="164">
      <c r="G164" s="7" t="inlineStr">
        <is>
          <t>Gimmighoul</t>
        </is>
      </c>
    </row>
    <row r="165">
      <c r="G165" s="7" t="inlineStr">
        <is>
          <t>Giovanni's Charisma</t>
        </is>
      </c>
    </row>
    <row r="166">
      <c r="G166" s="7" t="inlineStr">
        <is>
          <t>Glaceon ex</t>
        </is>
      </c>
    </row>
    <row r="167">
      <c r="G167" s="7" t="inlineStr">
        <is>
          <t>Gladion's Final Battle</t>
        </is>
      </c>
    </row>
    <row r="168">
      <c r="G168" s="7" t="inlineStr">
        <is>
          <t>Gloom</t>
        </is>
      </c>
    </row>
    <row r="169">
      <c r="G169" s="7" t="inlineStr">
        <is>
          <t>Golisopod ex</t>
        </is>
      </c>
    </row>
    <row r="170">
      <c r="G170" s="7" t="inlineStr">
        <is>
          <t>Golurk</t>
        </is>
      </c>
    </row>
    <row r="171">
      <c r="G171" s="7" t="inlineStr">
        <is>
          <t>Gothita</t>
        </is>
      </c>
    </row>
    <row r="172">
      <c r="G172" s="7" t="inlineStr">
        <is>
          <t>Gothorita</t>
        </is>
      </c>
    </row>
    <row r="173">
      <c r="G173" s="7" t="inlineStr">
        <is>
          <t>Gouging Fire ex</t>
        </is>
      </c>
    </row>
    <row r="174">
      <c r="G174" s="7" t="inlineStr">
        <is>
          <t>Gravity Mountain</t>
        </is>
      </c>
    </row>
    <row r="175">
      <c r="G175" s="7" t="inlineStr">
        <is>
          <t>Great Tusk ex</t>
        </is>
      </c>
    </row>
    <row r="176">
      <c r="G176" s="7" t="inlineStr">
        <is>
          <t>Greavard</t>
        </is>
      </c>
    </row>
    <row r="177">
      <c r="G177" s="7" t="inlineStr">
        <is>
          <t>Greninja ex</t>
        </is>
      </c>
    </row>
    <row r="178">
      <c r="G178" s="7" t="inlineStr">
        <is>
          <t>Grotle</t>
        </is>
      </c>
    </row>
    <row r="179">
      <c r="G179" s="7" t="inlineStr">
        <is>
          <t>Groudon</t>
        </is>
      </c>
    </row>
    <row r="180">
      <c r="G180" s="7" t="inlineStr">
        <is>
          <t>Grusha</t>
        </is>
      </c>
    </row>
    <row r="181">
      <c r="G181" s="7" t="inlineStr">
        <is>
          <t>Gulpin</t>
        </is>
      </c>
    </row>
    <row r="182">
      <c r="G182" s="7" t="inlineStr">
        <is>
          <t>Gurdurr</t>
        </is>
      </c>
    </row>
    <row r="183">
      <c r="G183" s="7" t="inlineStr">
        <is>
          <t>Gwynn</t>
        </is>
      </c>
    </row>
    <row r="184">
      <c r="G184" s="7" t="inlineStr">
        <is>
          <t>Haxorus</t>
        </is>
      </c>
    </row>
    <row r="185">
      <c r="G185" s="7" t="inlineStr">
        <is>
          <t>Hearthflame Mask Ogerpon ex</t>
        </is>
      </c>
    </row>
    <row r="186">
      <c r="G186" s="7" t="inlineStr">
        <is>
          <t>Heracross</t>
        </is>
      </c>
    </row>
    <row r="187">
      <c r="G187" s="7" t="inlineStr">
        <is>
          <t>Herdier</t>
        </is>
      </c>
    </row>
    <row r="188">
      <c r="G188" s="7" t="inlineStr">
        <is>
          <t>Hero's Cape</t>
        </is>
      </c>
    </row>
    <row r="189">
      <c r="G189" s="7" t="inlineStr">
        <is>
          <t>Hilda</t>
        </is>
      </c>
    </row>
    <row r="190">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Okidogi</t>
        </is>
      </c>
    </row>
    <row r="331">
      <c r="G331" s="7" t="inlineStr">
        <is>
          <t>Okidogi ex</t>
        </is>
      </c>
    </row>
    <row r="332">
      <c r="G332" s="7" t="inlineStr">
        <is>
          <t>Omanyte</t>
        </is>
      </c>
    </row>
    <row r="333">
      <c r="G333" s="7" t="inlineStr">
        <is>
          <t>Oshawott</t>
        </is>
      </c>
    </row>
    <row r="334">
      <c r="G334" s="7" t="inlineStr">
        <is>
          <t>Pachirisu</t>
        </is>
      </c>
    </row>
    <row r="335">
      <c r="G335" s="7" t="inlineStr">
        <is>
          <t>Palafin ex</t>
        </is>
      </c>
    </row>
    <row r="336">
      <c r="G336" s="7" t="inlineStr">
        <is>
          <t>Paldean Tauros</t>
        </is>
      </c>
    </row>
    <row r="337">
      <c r="G337" s="7" t="inlineStr">
        <is>
          <t>Paldean Wooper</t>
        </is>
      </c>
    </row>
    <row r="338">
      <c r="G338" s="7" t="inlineStr">
        <is>
          <t>Palpitoad</t>
        </is>
      </c>
    </row>
    <row r="339">
      <c r="G339" s="7" t="inlineStr">
        <is>
          <t>Panpour</t>
        </is>
      </c>
    </row>
    <row r="340">
      <c r="G340" s="7" t="inlineStr">
        <is>
          <t>Pansage</t>
        </is>
      </c>
    </row>
    <row r="341">
      <c r="G341" s="7" t="inlineStr">
        <is>
          <t>Pansear</t>
        </is>
      </c>
    </row>
    <row r="342">
      <c r="G342" s="7" t="inlineStr">
        <is>
          <t>Parasol Lady</t>
        </is>
      </c>
    </row>
    <row r="343">
      <c r="G343" s="7" t="inlineStr">
        <is>
          <t>Patrat</t>
        </is>
      </c>
    </row>
    <row r="344">
      <c r="G344" s="7" t="inlineStr">
        <is>
          <t>Pawmot</t>
        </is>
      </c>
    </row>
    <row r="345">
      <c r="G345" s="7" t="inlineStr">
        <is>
          <t>Pecharunt ex</t>
        </is>
      </c>
    </row>
    <row r="346">
      <c r="G346" s="7" t="inlineStr">
        <is>
          <t>Penny</t>
        </is>
      </c>
    </row>
    <row r="347">
      <c r="G347" s="7" t="inlineStr">
        <is>
          <t>Perrin</t>
        </is>
      </c>
    </row>
    <row r="348">
      <c r="G348" s="7" t="inlineStr">
        <is>
          <t>Persian</t>
        </is>
      </c>
    </row>
    <row r="349">
      <c r="G349" s="7" t="inlineStr">
        <is>
          <t>Petilil</t>
        </is>
      </c>
    </row>
    <row r="350">
      <c r="G350" s="7" t="inlineStr">
        <is>
          <t>Phione</t>
        </is>
      </c>
    </row>
    <row r="351">
      <c r="G351" s="7" t="inlineStr">
        <is>
          <t>Pidgeot ex</t>
        </is>
      </c>
    </row>
    <row r="352">
      <c r="G352" s="7" t="inlineStr">
        <is>
          <t>Pidgeotto</t>
        </is>
      </c>
    </row>
    <row r="353">
      <c r="G353" s="7" t="inlineStr">
        <is>
          <t>Pidgey</t>
        </is>
      </c>
    </row>
    <row r="354">
      <c r="G354" s="7" t="inlineStr">
        <is>
          <t>Pidove</t>
        </is>
      </c>
    </row>
    <row r="355">
      <c r="G355" s="7" t="inlineStr">
        <is>
          <t>Pignite</t>
        </is>
      </c>
    </row>
    <row r="356">
      <c r="G356" s="7" t="inlineStr">
        <is>
          <t>Pikachu</t>
        </is>
      </c>
    </row>
    <row r="357">
      <c r="G357" s="7" t="inlineStr">
        <is>
          <t>Pikachu ex</t>
        </is>
      </c>
    </row>
    <row r="358">
      <c r="G358" s="7" t="inlineStr">
        <is>
          <t>Pinsir</t>
        </is>
      </c>
    </row>
    <row r="359">
      <c r="G359" s="7" t="inlineStr">
        <is>
          <t>Piplup</t>
        </is>
      </c>
    </row>
    <row r="360">
      <c r="G360" s="7" t="inlineStr">
        <is>
          <t>Plusle</t>
        </is>
      </c>
    </row>
    <row r="361">
      <c r="G361" s="7" t="inlineStr">
        <is>
          <t>Poliwhirl</t>
        </is>
      </c>
    </row>
    <row r="362">
      <c r="G362" s="7" t="inlineStr">
        <is>
          <t>Porygon-Z</t>
        </is>
      </c>
    </row>
    <row r="363">
      <c r="G363" s="7" t="inlineStr">
        <is>
          <t>Powerglass</t>
        </is>
      </c>
    </row>
    <row r="364">
      <c r="G364" s="7" t="inlineStr">
        <is>
          <t>Psychic Energy</t>
        </is>
      </c>
    </row>
    <row r="365">
      <c r="G365" s="7" t="inlineStr">
        <is>
          <t>Psyduck</t>
        </is>
      </c>
    </row>
    <row r="366">
      <c r="G366" s="7" t="inlineStr">
        <is>
          <t>Purrloin</t>
        </is>
      </c>
    </row>
    <row r="367">
      <c r="G367" s="7" t="inlineStr">
        <is>
          <t>Pyroar</t>
        </is>
      </c>
    </row>
    <row r="368">
      <c r="G368" s="7" t="inlineStr">
        <is>
          <t>Quaquaval ex</t>
        </is>
      </c>
    </row>
    <row r="369">
      <c r="G369" s="7" t="inlineStr">
        <is>
          <t>Quaxly</t>
        </is>
      </c>
    </row>
    <row r="370">
      <c r="G370" s="7" t="inlineStr">
        <is>
          <t>Radiant Blastoise</t>
        </is>
      </c>
    </row>
    <row r="371">
      <c r="G371" s="7" t="inlineStr">
        <is>
          <t>Radiant Charizard</t>
        </is>
      </c>
    </row>
    <row r="372">
      <c r="G372" s="7" t="inlineStr">
        <is>
          <t>Raging Bolt ex</t>
        </is>
      </c>
    </row>
    <row r="373">
      <c r="G373" s="7" t="inlineStr">
        <is>
          <t>Raichu</t>
        </is>
      </c>
    </row>
    <row r="374">
      <c r="G374" s="7" t="inlineStr">
        <is>
          <t>Ralts</t>
        </is>
      </c>
    </row>
    <row r="375">
      <c r="G375" s="7" t="inlineStr">
        <is>
          <t>Rayquaza VMAX</t>
        </is>
      </c>
    </row>
    <row r="376">
      <c r="G376" s="7" t="inlineStr">
        <is>
          <t>Relicanth</t>
        </is>
      </c>
    </row>
    <row r="377">
      <c r="G377" s="7" t="inlineStr">
        <is>
          <t>Reshiram ex</t>
        </is>
      </c>
    </row>
    <row r="378">
      <c r="G378" s="7" t="inlineStr">
        <is>
          <t>Reuniclus</t>
        </is>
      </c>
    </row>
    <row r="379">
      <c r="G379" s="7" t="inlineStr">
        <is>
          <t>Rillaboom VMAX</t>
        </is>
      </c>
    </row>
    <row r="380">
      <c r="G380" s="7" t="inlineStr">
        <is>
          <t>Riolu</t>
        </is>
      </c>
    </row>
    <row r="381">
      <c r="G381" s="7" t="inlineStr">
        <is>
          <t>Roaring Moon ex</t>
        </is>
      </c>
    </row>
    <row r="382">
      <c r="G382" s="7" t="inlineStr">
        <is>
          <t>Roggenrola</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Sandygast</t>
        </is>
      </c>
    </row>
    <row r="394">
      <c r="G394" s="7" t="inlineStr">
        <is>
          <t>Sawk</t>
        </is>
      </c>
    </row>
    <row r="395">
      <c r="G395" s="7" t="inlineStr">
        <is>
          <t>Sawsbuck</t>
        </is>
      </c>
    </row>
    <row r="396">
      <c r="G396" s="7" t="inlineStr">
        <is>
          <t>Scizor</t>
        </is>
      </c>
    </row>
    <row r="397">
      <c r="G397" s="7" t="inlineStr">
        <is>
          <t>Scolipede</t>
        </is>
      </c>
    </row>
    <row r="398">
      <c r="G398" s="7" t="inlineStr">
        <is>
          <t>Scrafty</t>
        </is>
      </c>
    </row>
    <row r="399">
      <c r="G399" s="7" t="inlineStr">
        <is>
          <t>Scraggy</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Shaymin</t>
        </is>
      </c>
    </row>
    <row r="407">
      <c r="G407" s="7" t="inlineStr">
        <is>
          <t>Shiftry</t>
        </is>
      </c>
    </row>
    <row r="408">
      <c r="G408" s="7" t="inlineStr">
        <is>
          <t>Shinx</t>
        </is>
      </c>
    </row>
    <row r="409">
      <c r="G409" s="7" t="inlineStr">
        <is>
          <t>Sigilyph</t>
        </is>
      </c>
    </row>
    <row r="410">
      <c r="G410" s="7" t="inlineStr">
        <is>
          <t>Simipour</t>
        </is>
      </c>
    </row>
    <row r="411">
      <c r="G411" s="7" t="inlineStr">
        <is>
          <t>Simisage</t>
        </is>
      </c>
    </row>
    <row r="412">
      <c r="G412" s="7" t="inlineStr">
        <is>
          <t>Simisear</t>
        </is>
      </c>
    </row>
    <row r="413">
      <c r="G413" s="7" t="inlineStr">
        <is>
          <t>Sinistcha ex</t>
        </is>
      </c>
    </row>
    <row r="414">
      <c r="G414" s="7" t="inlineStr">
        <is>
          <t>Skeledirge ex</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Swadloon</t>
        </is>
      </c>
    </row>
    <row r="434">
      <c r="G434" s="7" t="inlineStr">
        <is>
          <t>Swanna</t>
        </is>
      </c>
    </row>
    <row r="435">
      <c r="G435" s="7" t="inlineStr">
        <is>
          <t>Swoobat</t>
        </is>
      </c>
    </row>
    <row r="436">
      <c r="G436" s="7" t="inlineStr">
        <is>
          <t>Sylveon ex</t>
        </is>
      </c>
    </row>
    <row r="437">
      <c r="G437" s="7" t="inlineStr">
        <is>
          <t>Tandemaus</t>
        </is>
      </c>
    </row>
    <row r="438">
      <c r="G438" s="7" t="inlineStr">
        <is>
          <t>Tangela</t>
        </is>
      </c>
    </row>
    <row r="439">
      <c r="G439" s="7" t="inlineStr">
        <is>
          <t>Tapu Bulu</t>
        </is>
      </c>
    </row>
    <row r="440">
      <c r="G440" s="7" t="inlineStr">
        <is>
          <t>Tapu Koko ex</t>
        </is>
      </c>
    </row>
    <row r="441">
      <c r="G441" s="7" t="inlineStr">
        <is>
          <t>Tarountula</t>
        </is>
      </c>
    </row>
    <row r="442">
      <c r="G442" s="7" t="inlineStr">
        <is>
          <t>Tatsugiri</t>
        </is>
      </c>
    </row>
    <row r="443">
      <c r="G443" s="7" t="inlineStr">
        <is>
          <t>Teal Mask Ogerpon ex</t>
        </is>
      </c>
    </row>
    <row r="444">
      <c r="G444" s="7" t="inlineStr">
        <is>
          <t>Team Rocket's Ariana</t>
        </is>
      </c>
    </row>
    <row r="445">
      <c r="G445" s="7" t="inlineStr">
        <is>
          <t>Team Rocket's Crobat ex</t>
        </is>
      </c>
    </row>
    <row r="446">
      <c r="G446" s="7" t="inlineStr">
        <is>
          <t>Team Rocket's Giovanni</t>
        </is>
      </c>
    </row>
    <row r="447">
      <c r="G447" s="7" t="inlineStr">
        <is>
          <t>Team Rocket's Houndoom</t>
        </is>
      </c>
    </row>
    <row r="448">
      <c r="G448" s="7" t="inlineStr">
        <is>
          <t>Team Rocket's Meowth</t>
        </is>
      </c>
    </row>
    <row r="449">
      <c r="G449" s="7" t="inlineStr">
        <is>
          <t>Team Rocket's Mewtwo ex</t>
        </is>
      </c>
    </row>
    <row r="450">
      <c r="G450" s="7" t="inlineStr">
        <is>
          <t>Team Rocket's Mimikyu</t>
        </is>
      </c>
    </row>
    <row r="451">
      <c r="G451" s="7" t="inlineStr">
        <is>
          <t>Team Rocket's Moltres ex</t>
        </is>
      </c>
    </row>
    <row r="452">
      <c r="G452" s="7" t="inlineStr">
        <is>
          <t>Team Rocket's Nidoking ex</t>
        </is>
      </c>
    </row>
    <row r="453">
      <c r="G453" s="7" t="inlineStr">
        <is>
          <t>Tepig</t>
        </is>
      </c>
    </row>
    <row r="454">
      <c r="G454" s="7" t="inlineStr">
        <is>
          <t>Terapagos ex</t>
        </is>
      </c>
    </row>
    <row r="455">
      <c r="G455" s="7" t="inlineStr">
        <is>
          <t>Terrakion</t>
        </is>
      </c>
    </row>
    <row r="456">
      <c r="G456" s="7" t="inlineStr">
        <is>
          <t>Timburr</t>
        </is>
      </c>
    </row>
    <row r="457">
      <c r="G457" s="7" t="inlineStr">
        <is>
          <t>Tinkatink</t>
        </is>
      </c>
    </row>
    <row r="458">
      <c r="G458" s="7" t="inlineStr">
        <is>
          <t>Tinkaton ex</t>
        </is>
      </c>
    </row>
    <row r="459">
      <c r="G459" s="7" t="inlineStr">
        <is>
          <t>Tinkatuff</t>
        </is>
      </c>
    </row>
    <row r="460">
      <c r="G460" s="7" t="inlineStr">
        <is>
          <t>Tirtouga</t>
        </is>
      </c>
    </row>
    <row r="461">
      <c r="G461" s="7" t="inlineStr">
        <is>
          <t>Tornadus V</t>
        </is>
      </c>
    </row>
    <row r="462">
      <c r="G462" s="7" t="inlineStr">
        <is>
          <t>Toxtricity VMAX</t>
        </is>
      </c>
    </row>
    <row r="463">
      <c r="G463" s="7" t="inlineStr">
        <is>
          <t>Tropius</t>
        </is>
      </c>
    </row>
    <row r="464">
      <c r="G464" s="7" t="inlineStr">
        <is>
          <t>Trubbish</t>
        </is>
      </c>
    </row>
    <row r="465">
      <c r="G465" s="7" t="inlineStr">
        <is>
          <t>Tympole</t>
        </is>
      </c>
    </row>
    <row r="466">
      <c r="G466" s="7" t="inlineStr">
        <is>
          <t>Tynamo</t>
        </is>
      </c>
    </row>
    <row r="467">
      <c r="G467" s="7" t="inlineStr">
        <is>
          <t>Tyranitar</t>
        </is>
      </c>
    </row>
    <row r="468">
      <c r="G468" s="7" t="inlineStr">
        <is>
          <t>Umbreon ex</t>
        </is>
      </c>
    </row>
    <row r="469">
      <c r="G469" s="7" t="inlineStr">
        <is>
          <t>Unfair Stamp</t>
        </is>
      </c>
    </row>
    <row r="470">
      <c r="G470" s="7" t="inlineStr">
        <is>
          <t>Unfezant</t>
        </is>
      </c>
    </row>
    <row r="471">
      <c r="G471" s="7" t="inlineStr">
        <is>
          <t>Vanillish</t>
        </is>
      </c>
    </row>
    <row r="472">
      <c r="G472" s="7" t="inlineStr">
        <is>
          <t>Vanillite</t>
        </is>
      </c>
    </row>
    <row r="473">
      <c r="G473" s="7" t="inlineStr">
        <is>
          <t>Vanilluxe</t>
        </is>
      </c>
    </row>
    <row r="474">
      <c r="G474" s="7" t="inlineStr">
        <is>
          <t>Vaporeon ex</t>
        </is>
      </c>
    </row>
    <row r="475">
      <c r="G475" s="7" t="inlineStr">
        <is>
          <t>Venusaur ex</t>
        </is>
      </c>
    </row>
    <row r="476">
      <c r="G476" s="7" t="inlineStr">
        <is>
          <t>Victini</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767</v>
      </c>
      <c r="E2" s="11" t="inlineStr">
        <is>
          <t>0:19</t>
        </is>
      </c>
      <c r="F2" s="13">
        <f>HYPERLINK("https://youtu.be/E5Wz7X1VMeY","watch")</f>
        <v/>
      </c>
      <c r="G2" s="14" t="inlineStr">
        <is>
          <t>Pitch Black</t>
        </is>
      </c>
      <c r="H2" s="15" t="n">
        <v>1</v>
      </c>
      <c r="I2" s="15" t="n"/>
      <c r="J2" s="15" t="n"/>
      <c r="K2" s="15" t="n"/>
      <c r="L2" s="15" t="n"/>
      <c r="M2" s="15" t="n"/>
      <c r="N2" s="15" t="n"/>
      <c r="O2" s="15" t="n"/>
      <c r="P2" s="15" t="n"/>
      <c r="Q2" s="15" t="n"/>
      <c r="R2" s="15" t="inlineStr">
        <is>
          <t>Single Booster Pack</t>
        </is>
      </c>
      <c r="S2" s="15">
        <f>SUM(H2,J2,L2,N2,P2)</f>
        <v/>
      </c>
      <c r="T2" s="15" t="inlineStr">
        <is>
          <t>Yes</t>
        </is>
      </c>
      <c r="U2" s="15" t="n"/>
      <c r="V2" s="15" t="n"/>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930</v>
      </c>
      <c r="E3" s="11" t="inlineStr">
        <is>
          <t>0:21</t>
        </is>
      </c>
      <c r="F3" s="13">
        <f>HYPERLINK("https://youtu.be/T2-UqY2ZSOw","watch")</f>
        <v/>
      </c>
      <c r="G3" s="14" t="inlineStr">
        <is>
          <t>Chaos Rising</t>
        </is>
      </c>
      <c r="H3" s="15" t="n">
        <v>9</v>
      </c>
      <c r="I3" s="15" t="n"/>
      <c r="J3" s="15" t="n"/>
      <c r="K3" s="15" t="n"/>
      <c r="L3" s="15" t="n"/>
      <c r="M3" s="15" t="n"/>
      <c r="N3" s="15" t="n"/>
      <c r="O3" s="15" t="n"/>
      <c r="P3" s="15" t="n"/>
      <c r="Q3" s="15" t="n"/>
      <c r="R3" s="15"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724</v>
      </c>
      <c r="E4" s="11" t="inlineStr">
        <is>
          <t>0:20</t>
        </is>
      </c>
      <c r="F4" s="13">
        <f>HYPERLINK("https://youtu.be/O5WscUY7qZI","watch")</f>
        <v/>
      </c>
      <c r="G4" s="14" t="inlineStr">
        <is>
          <t>Chaos Rising</t>
        </is>
      </c>
      <c r="H4" s="15" t="n">
        <v>1</v>
      </c>
      <c r="I4" s="15" t="n"/>
      <c r="J4" s="15" t="n"/>
      <c r="K4" s="15" t="n"/>
      <c r="L4" s="15" t="n"/>
      <c r="M4" s="15" t="n"/>
      <c r="N4" s="15" t="n"/>
      <c r="O4" s="15" t="n"/>
      <c r="P4" s="15" t="n"/>
      <c r="Q4" s="15" t="n"/>
      <c r="R4" s="15" t="inlineStr">
        <is>
          <t>Single Booster Pack</t>
        </is>
      </c>
      <c r="S4" s="15">
        <f>SUM(H4,J4,L4,N4,P4)</f>
        <v/>
      </c>
      <c r="T4" s="15" t="inlineStr">
        <is>
          <t>Yes</t>
        </is>
      </c>
      <c r="U4" s="15" t="n"/>
      <c r="V4" s="15" t="n"/>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662</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5" t="n">
        <v>1</v>
      </c>
      <c r="I6" s="15" t="n"/>
      <c r="J6" s="15" t="n"/>
      <c r="K6" s="15" t="n"/>
      <c r="L6" s="15" t="n"/>
      <c r="M6" s="15" t="n"/>
      <c r="N6" s="15" t="n"/>
      <c r="O6" s="15" t="n"/>
      <c r="P6" s="15" t="n"/>
      <c r="Q6" s="15" t="n"/>
      <c r="R6" s="15" t="inlineStr">
        <is>
          <t>Single Booster Pack</t>
        </is>
      </c>
      <c r="S6" s="15">
        <f>SUM(H6,J6,L6,N6,P6)</f>
        <v/>
      </c>
      <c r="T6" s="15" t="inlineStr">
        <is>
          <t>Yes</t>
        </is>
      </c>
      <c r="U6" s="15" t="n"/>
      <c r="V6" s="15" t="n"/>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n"/>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5" t="n">
        <v>1</v>
      </c>
      <c r="I10" s="15" t="n"/>
      <c r="J10" s="15" t="n"/>
      <c r="K10" s="15" t="n"/>
      <c r="L10" s="15" t="n"/>
      <c r="M10" s="15" t="n"/>
      <c r="N10" s="15" t="n"/>
      <c r="O10" s="15" t="n"/>
      <c r="P10" s="15" t="n"/>
      <c r="Q10" s="15" t="n"/>
      <c r="R10" s="15" t="inlineStr">
        <is>
          <t>Single Booster Pack</t>
        </is>
      </c>
      <c r="S10" s="15">
        <f>SUM(H10,J10,L10,N10,P10)</f>
        <v/>
      </c>
      <c r="T10" s="15" t="inlineStr">
        <is>
          <t>Yes</t>
        </is>
      </c>
      <c r="U10" s="15" t="n"/>
      <c r="V10" s="15" t="n"/>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n"/>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n"/>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n"/>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n"/>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889</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n"/>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767</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5" t="n">
        <v>1</v>
      </c>
      <c r="I18" s="15" t="n"/>
      <c r="J18" s="15" t="n"/>
      <c r="K18" s="15" t="n"/>
      <c r="L18" s="15" t="n"/>
      <c r="M18" s="15" t="n"/>
      <c r="N18" s="15" t="n"/>
      <c r="O18" s="15" t="n"/>
      <c r="P18" s="15" t="n"/>
      <c r="Q18" s="15" t="n"/>
      <c r="R18" s="15" t="inlineStr">
        <is>
          <t>Single Booster Pack</t>
        </is>
      </c>
      <c r="S18" s="15">
        <f>SUM(H18,J18,L18,N18,P18)</f>
        <v/>
      </c>
      <c r="T18" s="15" t="inlineStr">
        <is>
          <t>Yes</t>
        </is>
      </c>
      <c r="U18" s="15" t="n"/>
      <c r="V18" s="15" t="n"/>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n"/>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n"/>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n"/>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5" t="n">
        <v>1</v>
      </c>
      <c r="I24" s="15" t="n"/>
      <c r="J24" s="15" t="n"/>
      <c r="K24" s="15" t="n"/>
      <c r="L24" s="15" t="n"/>
      <c r="M24" s="15" t="n"/>
      <c r="N24" s="15" t="n"/>
      <c r="O24" s="15" t="n"/>
      <c r="P24" s="15" t="n"/>
      <c r="Q24" s="15" t="n"/>
      <c r="R24" s="15" t="inlineStr">
        <is>
          <t>Single Booster Pack</t>
        </is>
      </c>
      <c r="S24" s="15">
        <f>SUM(H24,J24,L24,N24,P24)</f>
        <v/>
      </c>
      <c r="T24" s="15" t="inlineStr">
        <is>
          <t>Yes</t>
        </is>
      </c>
      <c r="U24" s="15" t="n"/>
      <c r="V24" s="15" t="n"/>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n"/>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n"/>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n"/>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n"/>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n"/>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625</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n"/>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n"/>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922</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n"/>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n"/>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859</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n"/>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n"/>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n"/>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n"/>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n"/>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n"/>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inlineStr">
        <is>
          <t>Collection Box</t>
        </is>
      </c>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inlineStr">
        <is>
          <t>Collection Box</t>
        </is>
      </c>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1</v>
      </c>
      <c r="I70" s="15" t="n"/>
      <c r="J70" s="15" t="n"/>
      <c r="K70" s="15" t="n"/>
      <c r="L70" s="15" t="n"/>
      <c r="M70" s="15" t="n"/>
      <c r="N70" s="15" t="n"/>
      <c r="O70" s="15" t="n"/>
      <c r="P70" s="15" t="n"/>
      <c r="Q70" s="15" t="n"/>
      <c r="R70" s="15" t="inlineStr">
        <is>
          <t>Single Booster Pack</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1</v>
      </c>
      <c r="I71" s="15" t="n"/>
      <c r="J71" s="15" t="n"/>
      <c r="K71" s="15" t="n"/>
      <c r="L71" s="15" t="n"/>
      <c r="M71" s="15" t="n"/>
      <c r="N71" s="15" t="n"/>
      <c r="O71" s="15" t="n"/>
      <c r="P71" s="15" t="n"/>
      <c r="Q71" s="15" t="n"/>
      <c r="R71" s="15" t="inlineStr">
        <is>
          <t>Single Booster Pack</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1</v>
      </c>
      <c r="I72" s="15" t="n"/>
      <c r="J72" s="15" t="n"/>
      <c r="K72" s="15" t="n"/>
      <c r="L72" s="15" t="n"/>
      <c r="M72" s="15" t="n"/>
      <c r="N72" s="15" t="n"/>
      <c r="O72" s="15" t="n"/>
      <c r="P72" s="15" t="n"/>
      <c r="Q72" s="15" t="n"/>
      <c r="R72" s="15" t="inlineStr">
        <is>
          <t>Single Booster Pack</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1</v>
      </c>
      <c r="I73" s="15" t="n"/>
      <c r="J73" s="15" t="n"/>
      <c r="K73" s="15" t="n"/>
      <c r="L73" s="15" t="n"/>
      <c r="M73" s="15" t="n"/>
      <c r="N73" s="15" t="n"/>
      <c r="O73" s="15" t="n"/>
      <c r="P73" s="15" t="n"/>
      <c r="Q73" s="15" t="n"/>
      <c r="R73" s="15" t="inlineStr">
        <is>
          <t>Single Booster Pack</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1</v>
      </c>
      <c r="I74" s="15" t="n"/>
      <c r="J74" s="15" t="n"/>
      <c r="K74" s="15" t="n"/>
      <c r="L74" s="15" t="n"/>
      <c r="M74" s="15" t="n"/>
      <c r="N74" s="15" t="n"/>
      <c r="O74" s="15" t="n"/>
      <c r="P74" s="15" t="n"/>
      <c r="Q74" s="15" t="n"/>
      <c r="R74" s="15"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1</v>
      </c>
      <c r="I75" s="15" t="n"/>
      <c r="J75" s="15" t="n"/>
      <c r="K75" s="15" t="n"/>
      <c r="L75" s="15" t="n"/>
      <c r="M75" s="15" t="n"/>
      <c r="N75" s="15" t="n"/>
      <c r="O75" s="15" t="n"/>
      <c r="P75" s="15" t="n"/>
      <c r="Q75" s="15" t="n"/>
      <c r="R75" s="15" t="inlineStr">
        <is>
          <t>Single Booster Pack</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5" t="n">
        <v>1</v>
      </c>
      <c r="I76" s="15" t="n"/>
      <c r="J76" s="15" t="n"/>
      <c r="K76" s="15" t="n"/>
      <c r="L76" s="15" t="n"/>
      <c r="M76" s="15" t="n"/>
      <c r="N76" s="15" t="n"/>
      <c r="O76" s="15" t="n"/>
      <c r="P76" s="15" t="n"/>
      <c r="Q76" s="15" t="n"/>
      <c r="R76" s="15"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1</v>
      </c>
      <c r="I77" s="15" t="n"/>
      <c r="J77" s="15" t="n"/>
      <c r="K77" s="15" t="n"/>
      <c r="L77" s="15" t="n"/>
      <c r="M77" s="15" t="n"/>
      <c r="N77" s="15" t="n"/>
      <c r="O77" s="15" t="n"/>
      <c r="P77" s="15" t="n"/>
      <c r="Q77" s="15" t="n"/>
      <c r="R77" s="15" t="inlineStr">
        <is>
          <t>Single Booster Pack</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n"/>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4" t="inlineStr">
        <is>
          <t>Ascended Heroes</t>
        </is>
      </c>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n"/>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n"/>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4" t="inlineStr">
        <is>
          <t>Ascended Heroes</t>
        </is>
      </c>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n"/>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4" t="inlineStr">
        <is>
          <t>Ascended Heroes</t>
        </is>
      </c>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n"/>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n"/>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4" t="inlineStr">
        <is>
          <t>Ascended Heroes</t>
        </is>
      </c>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n"/>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n"/>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4" t="inlineStr">
        <is>
          <t>Ascended Heroes</t>
        </is>
      </c>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4" t="inlineStr">
        <is>
          <t>Ascended Heroes</t>
        </is>
      </c>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n"/>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n"/>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929</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n"/>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n"/>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n"/>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n"/>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n"/>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n"/>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n"/>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n"/>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n"/>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n"/>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n"/>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n"/>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n"/>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n"/>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n"/>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n"/>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n"/>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n"/>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n"/>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n"/>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Collection Box</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4" t="inlineStr">
        <is>
          <t>Crown Zenith</t>
        </is>
      </c>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4" t="inlineStr">
        <is>
          <t>Chilling Reign</t>
        </is>
      </c>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4" t="inlineStr">
        <is>
          <t>Rebel Clash</t>
        </is>
      </c>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4" t="inlineStr">
        <is>
          <t>Rebel Clash</t>
        </is>
      </c>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Collection Box</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Collection Box</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Collection Box</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n"/>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4" t="inlineStr">
        <is>
          <t>Celebrations</t>
        </is>
      </c>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Collection Box</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inlineStr">
        <is>
          <t>Collection Box</t>
        </is>
      </c>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4" t="inlineStr">
        <is>
          <t>Shining Fates</t>
        </is>
      </c>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4" t="inlineStr">
        <is>
          <t>Shining Fates</t>
        </is>
      </c>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n"/>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inlineStr">
        <is>
          <t>Yes</t>
        </is>
      </c>
      <c r="U297" s="15" t="inlineStr">
        <is>
          <t>Ascended Heroes - Stunfisk ex - Double Silver Star - Ultra Rare</t>
        </is>
      </c>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3</v>
      </c>
      <c r="I298" s="15" t="n"/>
      <c r="J298" s="15" t="n"/>
      <c r="K298" s="15" t="n"/>
      <c r="L298" s="15" t="n"/>
      <c r="M298" s="15" t="n"/>
      <c r="N298" s="15" t="n"/>
      <c r="O298" s="15" t="n"/>
      <c r="P298" s="15" t="n"/>
      <c r="Q298" s="15" t="n"/>
      <c r="R298" s="15" t="inlineStr">
        <is>
          <t>Single Booster Pack</t>
        </is>
      </c>
      <c r="S298" s="15">
        <f>SUM(H298,J298,L298,N298,P298)</f>
        <v/>
      </c>
      <c r="T298" s="15" t="inlineStr">
        <is>
          <t>No</t>
        </is>
      </c>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inlineStr">
        <is>
          <t>No</t>
        </is>
      </c>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inlineStr">
        <is>
          <t>No</t>
        </is>
      </c>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inlineStr">
        <is>
          <t>No</t>
        </is>
      </c>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inlineStr">
        <is>
          <t>Yes</t>
        </is>
      </c>
      <c r="U302" s="15" t="inlineStr">
        <is>
          <t>Journey Together - Volcanion ex - Double Black Star - Double Rare</t>
        </is>
      </c>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2</v>
      </c>
      <c r="I303" s="14" t="inlineStr">
        <is>
          <t>Mega Evolution</t>
        </is>
      </c>
      <c r="J303" s="15" t="n"/>
      <c r="K303" s="15" t="n"/>
      <c r="L303" s="15" t="n"/>
      <c r="M303" s="15" t="n"/>
      <c r="N303" s="15" t="n"/>
      <c r="O303" s="15" t="n"/>
      <c r="P303" s="15" t="n"/>
      <c r="Q303" s="15" t="n"/>
      <c r="R303" s="15" t="inlineStr">
        <is>
          <t>Blister</t>
        </is>
      </c>
      <c r="S303" s="15">
        <f>SUM(H303,J303,L303,N303,P303)</f>
        <v/>
      </c>
      <c r="T303" s="15" t="inlineStr">
        <is>
          <t>Yes</t>
        </is>
      </c>
      <c r="U303" s="15" t="inlineStr">
        <is>
          <t>Phantasmal Flames - Rotom ex - Double Black Star- Double Rare</t>
        </is>
      </c>
      <c r="V303" s="15" t="n"/>
      <c r="W303" s="15" t="n"/>
      <c r="X303" s="15" t="n"/>
      <c r="Y303" s="15" t="n"/>
      <c r="Z303" s="15" t="n"/>
      <c r="AA303" s="15" t="n"/>
      <c r="AB303" s="15" t="n"/>
      <c r="AC303" s="15" t="n"/>
      <c r="AD303" s="15" t="n"/>
      <c r="AE303" s="15" t="inlineStr">
        <is>
          <t>All the packs are on the first set. Move some across the Packs columns if they came from different sets.</t>
        </is>
      </c>
    </row>
    <row r="304">
      <c r="A304" s="11" t="inlineStr">
        <is>
          <t>SOCAXif6Mzs</t>
        </is>
      </c>
      <c r="B304" s="11" t="inlineStr">
        <is>
          <t>Only Garbage Rips 😬 | Journey Together 3-Pack Blister</t>
        </is>
      </c>
      <c r="C304" s="11" t="inlineStr">
        <is>
          <t>2026-02-10</t>
        </is>
      </c>
      <c r="D304" s="12" t="n">
        <v>850</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inlineStr">
        <is>
          <t>Yes</t>
        </is>
      </c>
      <c r="U304" s="15" t="inlineStr">
        <is>
          <t>Journey Together - Trainer - Ruffian - Double Silver Star - Ultra Rare</t>
        </is>
      </c>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507</v>
      </c>
      <c r="E305" s="11" t="inlineStr">
        <is>
          <t>0:44</t>
        </is>
      </c>
      <c r="F305" s="13">
        <f>HYPERLINK("https://youtu.be/Prq7KI6j1Vk","watch")</f>
        <v/>
      </c>
      <c r="G305" s="14" t="inlineStr">
        <is>
          <t>Phantasmal Flames</t>
        </is>
      </c>
      <c r="H305" s="15" t="n">
        <v>2</v>
      </c>
      <c r="I305" s="15" t="n"/>
      <c r="J305" s="15" t="n"/>
      <c r="K305" s="15" t="n"/>
      <c r="L305" s="15" t="n"/>
      <c r="M305" s="15" t="n"/>
      <c r="N305" s="15" t="n"/>
      <c r="O305" s="15" t="n"/>
      <c r="P305" s="15" t="n"/>
      <c r="Q305" s="15" t="n"/>
      <c r="R305" s="15" t="inlineStr">
        <is>
          <t>Single Booster Pack</t>
        </is>
      </c>
      <c r="S305" s="15">
        <f>SUM(H305,J305,L305,N305,P305)</f>
        <v/>
      </c>
      <c r="T305" s="15" t="inlineStr">
        <is>
          <t>Yes</t>
        </is>
      </c>
      <c r="U305" s="15" t="inlineStr">
        <is>
          <t>Phantasmal Flames - Mismagius ex - Double Black Star - Double Rare</t>
        </is>
      </c>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402</v>
      </c>
      <c r="E306" s="11" t="inlineStr">
        <is>
          <t>0:54</t>
        </is>
      </c>
      <c r="F306" s="13">
        <f>HYPERLINK("https://youtu.be/-1fhlQB1okI","watch")</f>
        <v/>
      </c>
      <c r="G306" s="14" t="inlineStr">
        <is>
          <t>Cyber Judge (JP)</t>
        </is>
      </c>
      <c r="H306" s="15" t="n">
        <v>6</v>
      </c>
      <c r="I306" s="15" t="n"/>
      <c r="J306" s="15" t="n"/>
      <c r="K306" s="15" t="n"/>
      <c r="L306" s="15" t="n"/>
      <c r="M306" s="15" t="n"/>
      <c r="N306" s="15" t="n"/>
      <c r="O306" s="15" t="n"/>
      <c r="P306" s="15" t="n"/>
      <c r="Q306" s="15" t="n"/>
      <c r="R306" s="15" t="inlineStr">
        <is>
          <t>Japanese Booster Pack</t>
        </is>
      </c>
      <c r="S306" s="15">
        <f>SUM(H306,J306,L306,N306,P306)</f>
        <v/>
      </c>
      <c r="T306" s="15" t="inlineStr">
        <is>
          <t>Yes</t>
        </is>
      </c>
      <c r="U306" s="15" t="inlineStr">
        <is>
          <t>Cyber Judge - Incineroar ex - SR - Super Rare</t>
        </is>
      </c>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2452</v>
      </c>
      <c r="E307" s="11" t="inlineStr">
        <is>
          <t>0:26</t>
        </is>
      </c>
      <c r="F307" s="13">
        <f>HYPERLINK("https://youtu.be/evnMahizn0I","watch")</f>
        <v/>
      </c>
      <c r="G307" s="14" t="inlineStr">
        <is>
          <t>Paldea Evolved</t>
        </is>
      </c>
      <c r="H307" s="15" t="n">
        <v>1</v>
      </c>
      <c r="I307" s="15" t="n"/>
      <c r="J307" s="15" t="n"/>
      <c r="K307" s="15" t="n"/>
      <c r="L307" s="15" t="n"/>
      <c r="M307" s="15" t="n"/>
      <c r="N307" s="15" t="n"/>
      <c r="O307" s="15" t="n"/>
      <c r="P307" s="15" t="n"/>
      <c r="Q307" s="15" t="n"/>
      <c r="R307" s="15" t="inlineStr">
        <is>
          <t>Blister</t>
        </is>
      </c>
      <c r="S307" s="15">
        <f>SUM(H307,J307,L307,N307,P307)</f>
        <v/>
      </c>
      <c r="T307" s="15" t="inlineStr">
        <is>
          <t>No</t>
        </is>
      </c>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30</v>
      </c>
      <c r="E308" s="11" t="inlineStr">
        <is>
          <t>0:48</t>
        </is>
      </c>
      <c r="F308" s="13">
        <f>HYPERLINK("https://youtu.be/AXOYuKfoBXU","watch")</f>
        <v/>
      </c>
      <c r="G308" s="14" t="inlineStr">
        <is>
          <t>Phantasmal Flames</t>
        </is>
      </c>
      <c r="H308" s="15" t="n">
        <v>2</v>
      </c>
      <c r="I308" s="15" t="n"/>
      <c r="J308" s="15" t="n"/>
      <c r="K308" s="15" t="n"/>
      <c r="L308" s="15" t="n"/>
      <c r="M308" s="15" t="n"/>
      <c r="N308" s="15" t="n"/>
      <c r="O308" s="15" t="n"/>
      <c r="P308" s="15" t="n"/>
      <c r="Q308" s="15" t="n"/>
      <c r="R308" s="15" t="inlineStr">
        <is>
          <t>Blister</t>
        </is>
      </c>
      <c r="S308" s="15">
        <f>SUM(H308,J308,L308,N308,P308)</f>
        <v/>
      </c>
      <c r="T308" s="15" t="inlineStr">
        <is>
          <t>Yes</t>
        </is>
      </c>
      <c r="U308" s="15" t="inlineStr">
        <is>
          <t>Phantasmal Flames - Mega Lopunny ex - Double Black Star - Double Rare</t>
        </is>
      </c>
      <c r="V308" s="15" t="n"/>
      <c r="W308" s="15" t="n"/>
      <c r="X308" s="15" t="n"/>
      <c r="Y308" s="15" t="inlineStr">
        <is>
          <t>Hits</t>
        </is>
      </c>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830</v>
      </c>
      <c r="E309" s="11" t="inlineStr">
        <is>
          <t>0:45</t>
        </is>
      </c>
      <c r="F309" s="13">
        <f>HYPERLINK("https://youtu.be/m9K7hpyjn04","watch")</f>
        <v/>
      </c>
      <c r="G309" s="14" t="inlineStr">
        <is>
          <t>Twilight Masquerade</t>
        </is>
      </c>
      <c r="H309" s="15" t="n">
        <v>2</v>
      </c>
      <c r="I309" s="14" t="inlineStr">
        <is>
          <t>Surging Sparks</t>
        </is>
      </c>
      <c r="J309" s="15" t="n"/>
      <c r="K309" s="15" t="n"/>
      <c r="L309" s="15" t="n"/>
      <c r="M309" s="15" t="n"/>
      <c r="N309" s="15" t="n"/>
      <c r="O309" s="15" t="n"/>
      <c r="P309" s="15" t="n"/>
      <c r="Q309" s="15" t="n"/>
      <c r="R309" s="15" t="inlineStr">
        <is>
          <t>Knock Out Collection</t>
        </is>
      </c>
      <c r="S309" s="15">
        <f>SUM(H309,J309,L309,N309,P309)</f>
        <v/>
      </c>
      <c r="T309" s="15" t="inlineStr">
        <is>
          <t>Yes</t>
        </is>
      </c>
      <c r="U309" s="15" t="inlineStr">
        <is>
          <t>Surging Sparks - Feebas - Single Gold Star - Illustration Rare</t>
        </is>
      </c>
      <c r="V309" s="15" t="n"/>
      <c r="W309" s="15" t="n"/>
      <c r="X309" s="15" t="n"/>
      <c r="Y309" s="15" t="n"/>
      <c r="Z309" s="15" t="n"/>
      <c r="AA309" s="15" t="n"/>
      <c r="AB309" s="15" t="n"/>
      <c r="AC309" s="15" t="n"/>
      <c r="AD309" s="15" t="n"/>
      <c r="AE309" s="15" t="inlineStr">
        <is>
          <t>All the packs are on the first set. Move some across the Packs columns if they came from different sets.</t>
        </is>
      </c>
    </row>
    <row r="310">
      <c r="A310" s="11" t="inlineStr">
        <is>
          <t>41vJCIdzYkw</t>
        </is>
      </c>
      <c r="B310" s="11" t="inlineStr">
        <is>
          <t>Only Garbage Rips 😬 Suicune Knock Out Collection #pokemon #pokemoncards #pokemontcg #PokemonShorts</t>
        </is>
      </c>
      <c r="C310" s="11" t="inlineStr">
        <is>
          <t>2026-02-04</t>
        </is>
      </c>
      <c r="D310" s="12" t="n">
        <v>394</v>
      </c>
      <c r="E310" s="11" t="inlineStr">
        <is>
          <t>0:46</t>
        </is>
      </c>
      <c r="F310" s="13">
        <f>HYPERLINK("https://youtu.be/41vJCIdzYkw","watch")</f>
        <v/>
      </c>
      <c r="G310" s="14" t="inlineStr">
        <is>
          <t>Twilight Masquerade</t>
        </is>
      </c>
      <c r="H310" s="15" t="n">
        <v>2</v>
      </c>
      <c r="I310" s="14" t="inlineStr">
        <is>
          <t>Surging Sparks</t>
        </is>
      </c>
      <c r="J310" s="15" t="n"/>
      <c r="K310" s="15" t="n"/>
      <c r="L310" s="15" t="n"/>
      <c r="M310" s="15" t="n"/>
      <c r="N310" s="15" t="n"/>
      <c r="O310" s="15" t="n"/>
      <c r="P310" s="15" t="n"/>
      <c r="Q310" s="15" t="n"/>
      <c r="R310" s="15" t="inlineStr">
        <is>
          <t>Knock Out Collection</t>
        </is>
      </c>
      <c r="S310" s="15">
        <f>SUM(H310,J310,L310,N310,P310)</f>
        <v/>
      </c>
      <c r="T310" s="15" t="inlineStr">
        <is>
          <t>No</t>
        </is>
      </c>
      <c r="U310" s="15" t="n"/>
      <c r="V310" s="15" t="n"/>
      <c r="W310" s="15" t="n"/>
      <c r="X310" s="15" t="n"/>
      <c r="Y310" s="15" t="inlineStr">
        <is>
          <t>Hits</t>
        </is>
      </c>
      <c r="Z310" s="15" t="n"/>
      <c r="AA310" s="15" t="n"/>
      <c r="AB310" s="15" t="n"/>
      <c r="AC310" s="15" t="n"/>
      <c r="AD310" s="15" t="n"/>
      <c r="AE310" s="15" t="inlineStr">
        <is>
          <t>All the packs are on the first set. Move some across the Packs columns if they came from different sets.</t>
        </is>
      </c>
    </row>
    <row r="311">
      <c r="A311" s="11" t="inlineStr">
        <is>
          <t>EOFAhFwJKqw</t>
        </is>
      </c>
      <c r="B311" s="11" t="inlineStr">
        <is>
          <t>Only Garbage Rips 😬 | Paradox Rift Blister Packs</t>
        </is>
      </c>
      <c r="C311" s="11" t="inlineStr">
        <is>
          <t>2026-02-03</t>
        </is>
      </c>
      <c r="D311" s="12" t="n">
        <v>237</v>
      </c>
      <c r="E311" s="11" t="inlineStr">
        <is>
          <t>1:15</t>
        </is>
      </c>
      <c r="F311" s="13">
        <f>HYPERLINK("https://youtu.be/EOFAhFwJKqw","watch")</f>
        <v/>
      </c>
      <c r="G311" s="14" t="inlineStr">
        <is>
          <t>Paradox Rift</t>
        </is>
      </c>
      <c r="H311" s="15" t="n">
        <v>2</v>
      </c>
      <c r="I311" s="15" t="n"/>
      <c r="J311" s="15" t="n"/>
      <c r="K311" s="15" t="n"/>
      <c r="L311" s="15" t="n"/>
      <c r="M311" s="15" t="n"/>
      <c r="N311" s="15" t="n"/>
      <c r="O311" s="15" t="n"/>
      <c r="P311" s="15" t="n"/>
      <c r="Q311" s="15" t="n"/>
      <c r="R311" s="15" t="inlineStr">
        <is>
          <t>Blister</t>
        </is>
      </c>
      <c r="S311" s="15">
        <f>SUM(H311,J311,L311,N311,P311)</f>
        <v/>
      </c>
      <c r="T311" s="15" t="inlineStr">
        <is>
          <t>Yes</t>
        </is>
      </c>
      <c r="U311" s="15" t="inlineStr">
        <is>
          <t>Paradox Rift - Tsareena ex - Double Black Star - Double Rare</t>
        </is>
      </c>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1180</v>
      </c>
      <c r="E312" s="11" t="inlineStr">
        <is>
          <t>1:07</t>
        </is>
      </c>
      <c r="F312" s="13">
        <f>HYPERLINK("https://youtu.be/l6RPdGNs7uE","watch")</f>
        <v/>
      </c>
      <c r="G312" s="14" t="inlineStr">
        <is>
          <t>Mega Evolution</t>
        </is>
      </c>
      <c r="H312" s="15" t="n">
        <v>4</v>
      </c>
      <c r="I312" s="14" t="inlineStr">
        <is>
          <t>Destined Rivals</t>
        </is>
      </c>
      <c r="J312" s="15" t="n"/>
      <c r="K312" s="15" t="n"/>
      <c r="L312" s="15" t="n"/>
      <c r="M312" s="15" t="n"/>
      <c r="N312" s="15" t="n"/>
      <c r="O312" s="15" t="n"/>
      <c r="P312" s="15" t="n"/>
      <c r="Q312" s="15" t="n"/>
      <c r="R312" s="15" t="inlineStr">
        <is>
          <t>ex Premium Collection</t>
        </is>
      </c>
      <c r="S312" s="15">
        <f>SUM(H312,J312,L312,N312,P312)</f>
        <v/>
      </c>
      <c r="T312" s="15" t="inlineStr">
        <is>
          <t>Yes</t>
        </is>
      </c>
      <c r="U312" s="15" t="inlineStr">
        <is>
          <t>Mega Kangakhan ex - Black Star Promo , Mega Evolution - Spearow - Single Gold Star - Illustration Rare,</t>
        </is>
      </c>
      <c r="V312" s="15" t="n"/>
      <c r="W312" s="15" t="n"/>
      <c r="X312" s="15" t="n"/>
      <c r="Y312" s="15" t="inlineStr">
        <is>
          <t>Hits</t>
        </is>
      </c>
      <c r="Z312" s="15" t="n"/>
      <c r="AA312" s="15" t="n"/>
      <c r="AB312" s="15" t="n"/>
      <c r="AC312" s="15" t="n"/>
      <c r="AD312" s="15" t="n"/>
      <c r="AE312" s="15" t="inlineStr">
        <is>
          <t>All the packs are on the first set. Move some across the Packs columns if they came from different sets.</t>
        </is>
      </c>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5" t="n"/>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n"/>
      <c r="X313" s="15" t="n"/>
      <c r="Y313" s="15" t="inlineStr">
        <is>
          <t>Hits</t>
        </is>
      </c>
      <c r="Z313" s="15" t="n"/>
      <c r="AA313" s="15" t="n"/>
      <c r="AB313" s="15" t="n"/>
      <c r="AC313" s="15" t="n"/>
      <c r="AD313" s="15" t="n"/>
      <c r="AE313" s="15" t="inlineStr">
        <is>
          <t>All the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n"/>
      <c r="X314" s="15" t="n"/>
      <c r="Y314" s="15" t="inlineStr">
        <is>
          <t>Hits</t>
        </is>
      </c>
      <c r="Z314" s="15" t="n"/>
      <c r="AA314" s="15" t="n"/>
      <c r="AB314" s="15" t="n"/>
      <c r="AC314" s="15" t="n"/>
      <c r="AD314" s="15" t="n"/>
      <c r="AE314" s="15" t="inlineStr">
        <is>
          <t>All the packs are on the first set. Move some across the Packs columns if they came from different sets.</t>
        </is>
      </c>
    </row>
  </sheetData>
  <autoFilter ref="A1:AE314"/>
  <dataValidations count="14">
    <dataValidation sqref="G2:G314" showDropDown="0" showInputMessage="0" showErrorMessage="0" allowBlank="1" type="list">
      <formula1>=Lists!$A$2:$A$44</formula1>
    </dataValidation>
    <dataValidation sqref="I2:I314" showDropDown="0" showInputMessage="0" showErrorMessage="0" allowBlank="1" type="list">
      <formula1>=Lists!$A$2:$A$44</formula1>
    </dataValidation>
    <dataValidation sqref="K2:K314" showDropDown="0" showInputMessage="0" showErrorMessage="0" allowBlank="1" type="list">
      <formula1>=Lists!$A$2:$A$44</formula1>
    </dataValidation>
    <dataValidation sqref="M2:M314" showDropDown="0" showInputMessage="0" showErrorMessage="0" allowBlank="1" type="list">
      <formula1>=Lists!$A$2:$A$44</formula1>
    </dataValidation>
    <dataValidation sqref="O2:O314" showDropDown="0" showInputMessage="0" showErrorMessage="0" allowBlank="1" type="list">
      <formula1>=Lists!$A$2:$A$44</formula1>
    </dataValidation>
    <dataValidation sqref="R2:R314" showDropDown="0" showInputMessage="0" showErrorMessage="0" allowBlank="1" type="list">
      <formula1>=Lists!$B$2:$B$19</formula1>
    </dataValidation>
    <dataValidation sqref="V2:V314" showDropDown="0" showInputMessage="0" showErrorMessage="0" allowBlank="1" type="list">
      <formula1>=Lists!$C$2:$C$13</formula1>
    </dataValidation>
    <dataValidation sqref="T2:T314" showDropDown="0" showInputMessage="0" showErrorMessage="0" allowBlank="1" type="list">
      <formula1>=Lists!$D$2:$D$3</formula1>
    </dataValidation>
    <dataValidation sqref="W2:W314" showDropDown="0" showInputMessage="0" showErrorMessage="0" allowBlank="1" type="list">
      <formula1>=Lists!$D$2:$D$3</formula1>
    </dataValidation>
    <dataValidation sqref="AC2:AC314" showDropDown="0" showInputMessage="0" showErrorMessage="0" allowBlank="1" type="list">
      <formula1>=Lists!$D$2:$D$3</formula1>
    </dataValidation>
    <dataValidation sqref="AD2:AD314" showDropDown="0" showInputMessage="0" showErrorMessage="0" allowBlank="1" type="list">
      <formula1>=Lists!$D$2:$D$3</formula1>
    </dataValidation>
    <dataValidation sqref="Y2:Y314" showDropDown="0" showInputMessage="0" showErrorMessage="0" allowBlank="1" type="list">
      <formula1>=Lists!$E$2:$E$7</formula1>
    </dataValidation>
    <dataValidation sqref="X2:X314" showDropDown="0" showInputMessage="0" showErrorMessage="0" allowBlank="1" type="list">
      <formula1>=Lists!$K$2:$K$21</formula1>
    </dataValidation>
    <dataValidation sqref="Q2:Q314" showDropDown="0" showInputMessage="0" showErrorMessage="0" allowBlank="1" type="list">
      <formula1>=Lists!$F$2:$F$31</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Hit rarity filled in</t>
        </is>
      </c>
      <c r="B8" s="18">
        <f>COUNTA('Video Log'!V2:V314)</f>
        <v/>
      </c>
    </row>
    <row r="9">
      <c r="A9" s="7" t="inlineStr">
        <is>
          <t>Pack count filled in</t>
        </is>
      </c>
      <c r="B9" s="18">
        <f>COUNTA('Video Log'!H2:H314)</f>
        <v/>
      </c>
    </row>
    <row r="10">
      <c r="A10" s="7" t="inlineStr">
        <is>
          <t>Still missing a pack count</t>
        </is>
      </c>
      <c r="B10" s="18">
        <f>COUNTA('Video Log'!A2:A314)-COUNTA('Video Log'!H2:H314)</f>
        <v/>
      </c>
    </row>
    <row r="11">
      <c r="A11" s="7" t="inlineStr">
        <is>
          <t>Opening type filled in</t>
        </is>
      </c>
      <c r="B11" s="18">
        <f>COUNTA('Video Log'!R2:R314)</f>
        <v/>
      </c>
    </row>
    <row r="12">
      <c r="A12" s="7" t="inlineStr">
        <is>
          <t>Marked as a hit</t>
        </is>
      </c>
      <c r="B12" s="18">
        <f>COUNTIF('Video Log'!T2:T314,"Yes")</f>
        <v/>
      </c>
    </row>
    <row r="13">
      <c r="A13" s="7" t="inlineStr">
        <is>
          <t>Hit card named</t>
        </is>
      </c>
      <c r="B13" s="18">
        <f>COUNTA('Video Log'!U2:U314)</f>
        <v/>
      </c>
    </row>
    <row r="14">
      <c r="A14" s="7" t="inlineStr">
        <is>
          <t>In Greatest Hits</t>
        </is>
      </c>
      <c r="B14" s="18">
        <f>COUNTIF('Video Log'!W2:W314,"Yes")</f>
        <v/>
      </c>
    </row>
    <row r="15">
      <c r="A15" s="7" t="inlineStr">
        <is>
          <t>Given a rank</t>
        </is>
      </c>
      <c r="B15" s="18">
        <f>COUNTA('Video Log'!X2:X314)</f>
        <v/>
      </c>
    </row>
    <row r="16">
      <c r="A16" s="7" t="inlineStr">
        <is>
          <t>Affiliate links added</t>
        </is>
      </c>
      <c r="B16" s="18">
        <f>COUNTA('Video Log'!Z2:Z314)</f>
        <v/>
      </c>
    </row>
    <row r="17">
      <c r="A17" s="7" t="inlineStr">
        <is>
          <t>Hidden from the site</t>
        </is>
      </c>
      <c r="B17" s="18">
        <f>COUNTIF('Video Log'!AD2:AD314,"Yes")</f>
        <v/>
      </c>
    </row>
    <row r="20">
      <c r="A20"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=Lists!$D$2:$D$3</formula1>
    </dataValidation>
    <dataValidation sqref="K2:K225" showDropDown="0" showInputMessage="0" showErrorMessage="0" allowBlank="1" type="list">
      <formula1>=Lists!$D$2:$D$3</formula1>
    </dataValidation>
    <dataValidation sqref="I2:I22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=Lists!$A$2:$A$44</formula1>
    </dataValidation>
    <dataValidation sqref="E2:E400" showDropDown="0" showInputMessage="0" showErrorMessage="0" allowBlank="1" type="list">
      <formula1>=Lists!$C$2:$C$13</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2026-08-16T13:22:00Z</dcterms:created>
  <dcterms:modified xsi:type="dcterms:W3CDTF">2026-08-16T13:22:01Z</dcterms:modified>
</cp:coreProperties>
</file>