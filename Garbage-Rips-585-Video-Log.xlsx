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Log'!$A$1:$AG$318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3" fillId="0" borderId="1" pivotButton="0" quotePrefix="0" xfId="0"/>
    <xf numFmtId="0" fontId="7"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I1" authorId="0" shapeId="0">
      <text>
        <t>HOW MANY PACKS OF THE SET IN THE Set COLUMN you opened in THIS video.
Not how many the box holds. If you opened one pack out of a Chaos
Rising ETB, this is 1, not 9. The 9 belongs to the box, and Box #
and Pack # are where you say which box and which pack.
A whole box opened in one video IS the full number: if you opened an
entire ETB on camera, put 9 and leave Pack # empty.
MIXED VIDEOS USE THE EXTRA PAIRS. A UPC holding 6 Journey Together
and 6 Pitch Black packs is Set=Journey Together Packs=6 and
Set 2=Pitch Black Packs 2=6. Packs Opened adds them to 12 for you.
This is what makes 'how many Pitch Black packs have we opened'
answerable at all: a single total cannot be split back apart.</t>
      </text>
    </comment>
    <comment ref="J1" authorId="0" shapeId="0">
      <text>
        <t>FREE TEXT. Type it however you say it out loud.
  Pitch Black Booster Bundle #3 Pack#5
  Chaos Rising ETB 3 - pack 3
  Journey Together Booster Bundle 2, pack 6
This one cell can fill Opening Type, Set, Box # and Pack # for you, so
if you write it here you do not have to fill those four as well.
Anything you DO type in those columns wins over what is read here.
There is no dropdown any more, on purpose: the old list could only
offer products already in the log, so it could never contain the one
you were recording for the first time.</t>
      </text>
    </comment>
    <comment ref="K1" authorId="0" shapeId="0">
      <text>
        <t>WHICH ONE OF THESE, counting your own openings of that product from
that set. Your third Chaos Rising ETB is 3. Your second Journey
Together Booster Bundle is 2.
Counted per SET and per OPENING TYPE, so a Chaos Rising ETB and a
Journey Together ETB have their own separate numbering, and so does a
bundle from the same set. "Box" covers whatever the sealed thing is:
an ETB, a bundle, a tin, a collection.
It counts boxes you OPENED, on camera or not. If number 1 and 2 were
never filmed, this is still 3.
Leave it blank when you do not know or it does not apply. A single
loose pack has no box, so it stays empty. Blank is normal and nothing
on the site shows a gap where one is missing.</t>
      </text>
    </comment>
    <comment ref="L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M1" authorId="0" shapeId="0">
      <text>
        <t>COMPUTED. Do not type here.
It adds up Packs, Packs 2, Packs 3, Packs 4 and Packs 5.
Put the count for each set in that set's own Packs column and this
adds itself up. Typing over it deletes the sum for that row.
WHAT THE FILLED COLUMNS BUY, once this sheet comes back:
  Opening Type + Box #  -&gt;  exactly how many ETBs, Booster Bundles
                            and single packs we have opened, per set
                            and overall.
  Set + Packs           -&gt;  exactly how many packs of each set we
                            have opened, including the ones that came
                            out of a mixed box.
  Pack #                -&gt;  which pack of that box the video is, so a
                            label reads 'Chaos Rising ETB 3 - Pack 3'.
Nothing on the site prints any of these until you have typed them.</t>
      </text>
    </comment>
    <comment ref="O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P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Y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18"/>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8" customWidth="1" min="7" max="7"/>
    <col width="24" customWidth="1" min="8" max="8"/>
    <col width="8" customWidth="1" min="9" max="9"/>
    <col width="46" customWidth="1" min="10" max="10"/>
    <col width="8" customWidth="1" min="11" max="11"/>
    <col width="8" customWidth="1" min="12" max="12"/>
    <col width="13" customWidth="1" min="13" max="13"/>
    <col width="9" customWidth="1" min="14" max="14"/>
    <col width="30" customWidth="1" min="15" max="15"/>
    <col width="34" customWidth="1" min="16" max="16"/>
    <col width="24" customWidth="1" min="17" max="17"/>
    <col width="8" customWidth="1" min="18" max="18"/>
    <col width="24" customWidth="1" min="19" max="19"/>
    <col width="8" customWidth="1" min="20" max="20"/>
    <col width="24" customWidth="1" min="21" max="21"/>
    <col width="8" customWidth="1" min="22" max="22"/>
    <col width="24" customWidth="1" min="23" max="23"/>
    <col width="8" customWidth="1" min="24" max="24"/>
    <col width="14" customWidth="1" min="25" max="25"/>
    <col width="18" customWidth="1" min="26" max="26"/>
    <col width="18" customWidth="1" min="27" max="27"/>
    <col width="30" customWidth="1" min="28" max="28"/>
    <col width="40" customWidth="1" min="29" max="29"/>
    <col width="46" customWidth="1" min="30" max="30"/>
    <col width="9" customWidth="1" min="31" max="31"/>
    <col width="8" customWidth="1" min="32" max="32"/>
    <col width="34" customWidth="1" min="33" max="33"/>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Opening Type</t>
        </is>
      </c>
      <c r="H1" s="9" t="inlineStr">
        <is>
          <t>Set</t>
        </is>
      </c>
      <c r="I1" s="9" t="inlineStr">
        <is>
          <t>Packs</t>
        </is>
      </c>
      <c r="J1" s="9" t="inlineStr">
        <is>
          <t>Box / Series</t>
        </is>
      </c>
      <c r="K1" s="9" t="inlineStr">
        <is>
          <t>Box #</t>
        </is>
      </c>
      <c r="L1" s="9" t="inlineStr">
        <is>
          <t>Pack #</t>
        </is>
      </c>
      <c r="M1" s="8" t="inlineStr">
        <is>
          <t>Packs Opened</t>
        </is>
      </c>
      <c r="N1" s="9" t="inlineStr">
        <is>
          <t>Has Hit</t>
        </is>
      </c>
      <c r="O1" s="9" t="inlineStr">
        <is>
          <t>Hit Card</t>
        </is>
      </c>
      <c r="P1" s="9" t="inlineStr">
        <is>
          <t>Hit Rarity</t>
        </is>
      </c>
      <c r="Q1" s="9" t="inlineStr">
        <is>
          <t>Set 2</t>
        </is>
      </c>
      <c r="R1" s="9" t="inlineStr">
        <is>
          <t>Packs 2</t>
        </is>
      </c>
      <c r="S1" s="9" t="inlineStr">
        <is>
          <t>Set 3</t>
        </is>
      </c>
      <c r="T1" s="9" t="inlineStr">
        <is>
          <t>Packs 3</t>
        </is>
      </c>
      <c r="U1" s="9" t="inlineStr">
        <is>
          <t>Set 4</t>
        </is>
      </c>
      <c r="V1" s="9" t="inlineStr">
        <is>
          <t>Packs 4</t>
        </is>
      </c>
      <c r="W1" s="9" t="inlineStr">
        <is>
          <t>Set 5</t>
        </is>
      </c>
      <c r="X1" s="9" t="inlineStr">
        <is>
          <t>Packs 5</t>
        </is>
      </c>
      <c r="Y1" s="10" t="inlineStr">
        <is>
          <t>Greatest Hits</t>
        </is>
      </c>
      <c r="Z1" s="10" t="inlineStr">
        <is>
          <t>Greatest Hits Rank</t>
        </is>
      </c>
      <c r="AA1" s="9" t="inlineStr">
        <is>
          <t>Playlist To Add</t>
        </is>
      </c>
      <c r="AB1" s="9" t="inlineStr">
        <is>
          <t>Affiliate Link</t>
        </is>
      </c>
      <c r="AC1" s="9" t="inlineStr">
        <is>
          <t>Site Title</t>
        </is>
      </c>
      <c r="AD1" s="9" t="inlineStr">
        <is>
          <t>Short Description</t>
        </is>
      </c>
      <c r="AE1" s="9" t="inlineStr">
        <is>
          <t>Feature</t>
        </is>
      </c>
      <c r="AF1" s="9" t="inlineStr">
        <is>
          <t>Hide</t>
        </is>
      </c>
      <c r="AG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n"/>
      <c r="H2" s="15" t="inlineStr">
        <is>
          <t>Pitch Black</t>
        </is>
      </c>
      <c r="I2" s="14" t="n"/>
      <c r="J2" s="14" t="n"/>
      <c r="K2" s="14" t="n"/>
      <c r="L2" s="14" t="n"/>
      <c r="M2" s="14">
        <f>SUM(I2,R2,T2,V2,X2)</f>
        <v/>
      </c>
      <c r="N2" s="14" t="n"/>
      <c r="O2" s="14" t="n"/>
      <c r="P2" s="14" t="n"/>
      <c r="Q2" s="14" t="n"/>
      <c r="R2" s="14" t="n"/>
      <c r="S2" s="14" t="n"/>
      <c r="T2" s="14" t="n"/>
      <c r="U2" s="14" t="n"/>
      <c r="V2" s="14" t="n"/>
      <c r="W2" s="14" t="n"/>
      <c r="X2" s="14" t="n"/>
      <c r="Y2" s="14" t="n"/>
      <c r="Z2" s="14" t="n"/>
      <c r="AA2" s="14" t="n"/>
      <c r="AB2" s="14" t="n"/>
      <c r="AC2" s="14" t="n"/>
      <c r="AD2" s="14" t="n"/>
      <c r="AE2" s="14" t="n"/>
      <c r="AF2" s="14" t="n"/>
      <c r="AG2" s="14" t="n"/>
    </row>
    <row r="3">
      <c r="A3" s="11" t="inlineStr">
        <is>
          <t>iIgTusrqVtg</t>
        </is>
      </c>
      <c r="B3" s="11" t="inlineStr">
        <is>
          <t>I Just Pulled a $1,000 Card! 😱🐸</t>
        </is>
      </c>
      <c r="C3" s="11" t="inlineStr">
        <is>
          <t>2026-08-18</t>
        </is>
      </c>
      <c r="D3" s="12" t="n">
        <v>1126</v>
      </c>
      <c r="E3" s="11" t="inlineStr">
        <is>
          <t>0:28</t>
        </is>
      </c>
      <c r="F3" s="13">
        <f>HYPERLINK("https://youtu.be/iIgTusrqVtg","watch")</f>
        <v/>
      </c>
      <c r="G3" s="14" t="n"/>
      <c r="H3" s="15" t="inlineStr">
        <is>
          <t>Chaos Rising</t>
        </is>
      </c>
      <c r="I3" s="14" t="n"/>
      <c r="J3" s="14" t="n"/>
      <c r="K3" s="14" t="n">
        <v>3</v>
      </c>
      <c r="L3" s="14" t="n">
        <v>3</v>
      </c>
      <c r="M3" s="14">
        <f>SUM(I3,R3,T3,V3,X3)</f>
        <v/>
      </c>
      <c r="N3" s="14" t="n"/>
      <c r="O3" s="14" t="n"/>
      <c r="P3" s="14" t="n"/>
      <c r="Q3" s="14" t="n"/>
      <c r="R3" s="14" t="n"/>
      <c r="S3" s="14" t="n"/>
      <c r="T3" s="14" t="n"/>
      <c r="U3" s="14" t="n"/>
      <c r="V3" s="14" t="n"/>
      <c r="W3" s="14" t="n"/>
      <c r="X3" s="14" t="n"/>
      <c r="Y3" s="14" t="n"/>
      <c r="Z3" s="14" t="n">
        <v>1</v>
      </c>
      <c r="AA3" s="14" t="n"/>
      <c r="AB3" s="14" t="n"/>
      <c r="AC3" s="14" t="n"/>
      <c r="AD3" s="14" t="n"/>
      <c r="AE3" s="14" t="n"/>
      <c r="AF3" s="14" t="n"/>
      <c r="AG3" s="14" t="n"/>
    </row>
    <row r="4">
      <c r="A4" s="11" t="inlineStr">
        <is>
          <t>DP8HG31X1rg</t>
        </is>
      </c>
      <c r="B4" s="11" t="inlineStr">
        <is>
          <t>Is Pack #13 Actually CURSED? 💀🌑</t>
        </is>
      </c>
      <c r="C4" s="11" t="inlineStr">
        <is>
          <t>2026-08-17</t>
        </is>
      </c>
      <c r="D4" s="12" t="n">
        <v>795</v>
      </c>
      <c r="E4" s="11" t="inlineStr">
        <is>
          <t>0:20</t>
        </is>
      </c>
      <c r="F4" s="13">
        <f>HYPERLINK("https://youtu.be/DP8HG31X1rg","watch")</f>
        <v/>
      </c>
      <c r="G4" s="14" t="n"/>
      <c r="H4" s="15" t="inlineStr">
        <is>
          <t>Chaos Rising</t>
        </is>
      </c>
      <c r="I4" s="14" t="n"/>
      <c r="J4" s="14" t="n"/>
      <c r="K4" s="14" t="n"/>
      <c r="L4" s="14" t="n"/>
      <c r="M4" s="14">
        <f>SUM(I4,R4,T4,V4,X4)</f>
        <v/>
      </c>
      <c r="N4" s="14" t="n"/>
      <c r="O4" s="14" t="n"/>
      <c r="P4" s="14" t="n"/>
      <c r="Q4" s="14" t="n"/>
      <c r="R4" s="14" t="n"/>
      <c r="S4" s="14" t="n"/>
      <c r="T4" s="14" t="n"/>
      <c r="U4" s="14" t="n"/>
      <c r="V4" s="14" t="n"/>
      <c r="W4" s="14" t="n"/>
      <c r="X4" s="14" t="n"/>
      <c r="Y4" s="14" t="n"/>
      <c r="Z4" s="14" t="n"/>
      <c r="AA4" s="14" t="n"/>
      <c r="AB4" s="14" t="n"/>
      <c r="AC4" s="14" t="n"/>
      <c r="AD4" s="14" t="n"/>
      <c r="AE4" s="14" t="n"/>
      <c r="AF4" s="14" t="n"/>
      <c r="AG4" s="14"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n"/>
      <c r="H5" s="15" t="inlineStr">
        <is>
          <t>Pitch Black</t>
        </is>
      </c>
      <c r="I5" s="14" t="n"/>
      <c r="J5" s="14" t="n"/>
      <c r="K5" s="14" t="n"/>
      <c r="L5" s="14" t="n"/>
      <c r="M5" s="14">
        <f>SUM(I5,R5,T5,V5,X5)</f>
        <v/>
      </c>
      <c r="N5" s="14" t="n"/>
      <c r="O5" s="14" t="n"/>
      <c r="P5" s="14" t="n"/>
      <c r="Q5" s="14" t="n"/>
      <c r="R5" s="14" t="n"/>
      <c r="S5" s="14" t="n"/>
      <c r="T5" s="14" t="n"/>
      <c r="U5" s="14" t="n"/>
      <c r="V5" s="14" t="n"/>
      <c r="W5" s="14" t="n"/>
      <c r="X5" s="14" t="n"/>
      <c r="Y5" s="14" t="n"/>
      <c r="Z5" s="14" t="n"/>
      <c r="AA5" s="14" t="n"/>
      <c r="AB5" s="14" t="n"/>
      <c r="AC5" s="14" t="n"/>
      <c r="AD5" s="14" t="n"/>
      <c r="AE5" s="14" t="n"/>
      <c r="AF5" s="14" t="n"/>
      <c r="AG5" s="14" t="n"/>
    </row>
    <row r="6">
      <c r="A6" s="11" t="inlineStr">
        <is>
          <t>E5Wz7X1VMeY</t>
        </is>
      </c>
      <c r="B6" s="11" t="inlineStr">
        <is>
          <t>8 Packs and NO HITS?! 🌑💀</t>
        </is>
      </c>
      <c r="C6" s="11" t="inlineStr">
        <is>
          <t>2026-08-15</t>
        </is>
      </c>
      <c r="D6" s="12" t="n">
        <v>791</v>
      </c>
      <c r="E6" s="11" t="inlineStr">
        <is>
          <t>0:19</t>
        </is>
      </c>
      <c r="F6" s="13">
        <f>HYPERLINK("https://youtu.be/E5Wz7X1VMeY","watch")</f>
        <v/>
      </c>
      <c r="G6" s="14" t="n"/>
      <c r="H6" s="15" t="inlineStr">
        <is>
          <t>Pitch Black</t>
        </is>
      </c>
      <c r="I6" s="14" t="n"/>
      <c r="J6" s="14" t="n"/>
      <c r="K6" s="14" t="n"/>
      <c r="L6" s="14" t="n"/>
      <c r="M6" s="14">
        <f>SUM(I6,R6,T6,V6,X6)</f>
        <v/>
      </c>
      <c r="N6" s="14" t="inlineStr">
        <is>
          <t>Yes</t>
        </is>
      </c>
      <c r="O6" s="14" t="n"/>
      <c r="P6" s="14" t="n"/>
      <c r="Q6" s="14" t="n"/>
      <c r="R6" s="14" t="n"/>
      <c r="S6" s="14" t="n"/>
      <c r="T6" s="14" t="n"/>
      <c r="U6" s="14" t="n"/>
      <c r="V6" s="14" t="n"/>
      <c r="W6" s="14" t="n"/>
      <c r="X6" s="14" t="n"/>
      <c r="Y6" s="14" t="n"/>
      <c r="Z6" s="14" t="n"/>
      <c r="AA6" s="14" t="n"/>
      <c r="AB6" s="14" t="n"/>
      <c r="AC6" s="14" t="n"/>
      <c r="AD6" s="14" t="n"/>
      <c r="AE6" s="14" t="n"/>
      <c r="AF6" s="14" t="n"/>
      <c r="AG6" s="14"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n"/>
      <c r="H7" s="15" t="inlineStr">
        <is>
          <t>Chaos Rising</t>
        </is>
      </c>
      <c r="I7" s="14" t="n"/>
      <c r="J7" s="14" t="n"/>
      <c r="K7" s="14" t="n"/>
      <c r="L7" s="14" t="n"/>
      <c r="M7" s="14">
        <f>SUM(I7,R7,T7,V7,X7)</f>
        <v/>
      </c>
      <c r="N7" s="14" t="n"/>
      <c r="O7" s="14" t="n"/>
      <c r="P7" s="14" t="n"/>
      <c r="Q7" s="14" t="n"/>
      <c r="R7" s="14" t="n"/>
      <c r="S7" s="14" t="n"/>
      <c r="T7" s="14" t="n"/>
      <c r="U7" s="14" t="n"/>
      <c r="V7" s="14" t="n"/>
      <c r="W7" s="14" t="n"/>
      <c r="X7" s="14" t="n"/>
      <c r="Y7" s="14" t="n"/>
      <c r="Z7" s="14" t="n"/>
      <c r="AA7" s="14" t="n"/>
      <c r="AB7" s="14" t="n"/>
      <c r="AC7" s="14" t="n"/>
      <c r="AD7" s="14" t="n"/>
      <c r="AE7" s="14" t="n"/>
      <c r="AF7" s="14" t="n"/>
      <c r="AG7" s="14"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n"/>
      <c r="H8" s="15" t="inlineStr">
        <is>
          <t>Chaos Rising</t>
        </is>
      </c>
      <c r="I8" s="14" t="n"/>
      <c r="J8" s="14" t="n"/>
      <c r="K8" s="14" t="n"/>
      <c r="L8" s="14" t="n"/>
      <c r="M8" s="14">
        <f>SUM(I8,R8,T8,V8,X8)</f>
        <v/>
      </c>
      <c r="N8" s="14" t="inlineStr">
        <is>
          <t>Yes</t>
        </is>
      </c>
      <c r="O8" s="14" t="n"/>
      <c r="P8" s="14" t="n"/>
      <c r="Q8" s="14" t="n"/>
      <c r="R8" s="14" t="n"/>
      <c r="S8" s="14" t="n"/>
      <c r="T8" s="14" t="n"/>
      <c r="U8" s="14" t="n"/>
      <c r="V8" s="14" t="n"/>
      <c r="W8" s="14" t="n"/>
      <c r="X8" s="14" t="n"/>
      <c r="Y8" s="14" t="n"/>
      <c r="Z8" s="14" t="n"/>
      <c r="AA8" s="14" t="n"/>
      <c r="AB8" s="14" t="n"/>
      <c r="AC8" s="14" t="n"/>
      <c r="AD8" s="14" t="n"/>
      <c r="AE8" s="14" t="n"/>
      <c r="AF8" s="14" t="n"/>
      <c r="AG8" s="14" t="n"/>
    </row>
    <row r="9">
      <c r="A9" s="11" t="inlineStr">
        <is>
          <t>IQMn3DNCzik</t>
        </is>
      </c>
      <c r="B9" s="11" t="inlineStr">
        <is>
          <t>This ETB is BREAKING me! 🌑💀</t>
        </is>
      </c>
      <c r="C9" s="11" t="inlineStr">
        <is>
          <t>2026-08-12</t>
        </is>
      </c>
      <c r="D9" s="12" t="n">
        <v>667</v>
      </c>
      <c r="E9" s="11" t="inlineStr">
        <is>
          <t>0:20</t>
        </is>
      </c>
      <c r="F9" s="13">
        <f>HYPERLINK("https://youtu.be/IQMn3DNCzik","watch")</f>
        <v/>
      </c>
      <c r="G9" s="14" t="n"/>
      <c r="H9" s="15" t="inlineStr">
        <is>
          <t>Pitch Black</t>
        </is>
      </c>
      <c r="I9" s="14" t="n"/>
      <c r="J9" s="14" t="n"/>
      <c r="K9" s="14" t="n"/>
      <c r="L9" s="14" t="n"/>
      <c r="M9" s="14">
        <f>SUM(I9,R9,T9,V9,X9)</f>
        <v/>
      </c>
      <c r="N9" s="14" t="n"/>
      <c r="O9" s="14" t="n"/>
      <c r="P9" s="14" t="n"/>
      <c r="Q9" s="14" t="n"/>
      <c r="R9" s="14" t="n"/>
      <c r="S9" s="14" t="n"/>
      <c r="T9" s="14" t="n"/>
      <c r="U9" s="14" t="n"/>
      <c r="V9" s="14" t="n"/>
      <c r="W9" s="14" t="n"/>
      <c r="X9" s="14" t="n"/>
      <c r="Y9" s="14" t="n"/>
      <c r="Z9" s="14" t="n"/>
      <c r="AA9" s="14" t="n"/>
      <c r="AB9" s="14" t="n"/>
      <c r="AC9" s="14" t="n"/>
      <c r="AD9" s="14" t="n"/>
      <c r="AE9" s="14" t="n"/>
      <c r="AF9" s="14" t="n"/>
      <c r="AG9" s="14"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n"/>
      <c r="H10" s="15" t="inlineStr">
        <is>
          <t>Pitch Black</t>
        </is>
      </c>
      <c r="I10" s="14" t="n"/>
      <c r="J10" s="14" t="n"/>
      <c r="K10" s="14" t="n"/>
      <c r="L10" s="14" t="n"/>
      <c r="M10" s="14">
        <f>SUM(I10,R10,T10,V10,X10)</f>
        <v/>
      </c>
      <c r="N10" s="14" t="inlineStr">
        <is>
          <t>Yes</t>
        </is>
      </c>
      <c r="O10" s="14" t="n"/>
      <c r="P10" s="14" t="n"/>
      <c r="Q10" s="14" t="n"/>
      <c r="R10" s="14" t="n"/>
      <c r="S10" s="14" t="n"/>
      <c r="T10" s="14" t="n"/>
      <c r="U10" s="14" t="n"/>
      <c r="V10" s="14" t="n"/>
      <c r="W10" s="14" t="n"/>
      <c r="X10" s="14" t="n"/>
      <c r="Y10" s="14" t="n"/>
      <c r="Z10" s="14" t="n"/>
      <c r="AA10" s="14" t="n"/>
      <c r="AB10" s="14" t="n"/>
      <c r="AC10" s="14" t="n"/>
      <c r="AD10" s="14" t="n"/>
      <c r="AE10" s="14" t="n"/>
      <c r="AF10" s="14" t="n"/>
      <c r="AG10" s="14"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n"/>
      <c r="H11" s="15" t="inlineStr">
        <is>
          <t>Chaos Rising</t>
        </is>
      </c>
      <c r="I11" s="14" t="n"/>
      <c r="J11" s="14" t="n"/>
      <c r="K11" s="14" t="n"/>
      <c r="L11" s="14" t="n"/>
      <c r="M11" s="14">
        <f>SUM(I11,R11,T11,V11,X11)</f>
        <v/>
      </c>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n"/>
      <c r="H12" s="15" t="inlineStr">
        <is>
          <t>Pitch Black</t>
        </is>
      </c>
      <c r="I12" s="14" t="n"/>
      <c r="J12" s="14" t="n"/>
      <c r="K12" s="14" t="n"/>
      <c r="L12" s="14" t="n"/>
      <c r="M12" s="14">
        <f>SUM(I12,R12,T12,V12,X12)</f>
        <v/>
      </c>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n"/>
      <c r="H13" s="15" t="inlineStr">
        <is>
          <t>Pitch Black</t>
        </is>
      </c>
      <c r="I13" s="14" t="n"/>
      <c r="J13" s="14" t="n"/>
      <c r="K13" s="14" t="n"/>
      <c r="L13" s="14" t="n"/>
      <c r="M13" s="14">
        <f>SUM(I13,R13,T13,V13,X13)</f>
        <v/>
      </c>
      <c r="N13" s="14" t="inlineStr">
        <is>
          <t>Yes</t>
        </is>
      </c>
      <c r="O13" s="14" t="n"/>
      <c r="P13" s="14" t="n"/>
      <c r="Q13" s="14" t="n"/>
      <c r="R13" s="14" t="n"/>
      <c r="S13" s="14" t="n"/>
      <c r="T13" s="14" t="n"/>
      <c r="U13" s="14" t="n"/>
      <c r="V13" s="14" t="n"/>
      <c r="W13" s="14" t="n"/>
      <c r="X13" s="14" t="n"/>
      <c r="Y13" s="14" t="n"/>
      <c r="Z13" s="14" t="n"/>
      <c r="AA13" s="14" t="n"/>
      <c r="AB13" s="14" t="n"/>
      <c r="AC13" s="14" t="n"/>
      <c r="AD13" s="14" t="n"/>
      <c r="AE13" s="14" t="n"/>
      <c r="AF13" s="14" t="n"/>
      <c r="AG13" s="14"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n"/>
      <c r="H14" s="15" t="inlineStr">
        <is>
          <t>Pitch Black</t>
        </is>
      </c>
      <c r="I14" s="14" t="n"/>
      <c r="J14" s="14" t="n"/>
      <c r="K14" s="14" t="n"/>
      <c r="L14" s="14" t="n"/>
      <c r="M14" s="14">
        <f>SUM(I14,R14,T14,V14,X14)</f>
        <v/>
      </c>
      <c r="N14" s="14" t="inlineStr">
        <is>
          <t>Yes</t>
        </is>
      </c>
      <c r="O14" s="14" t="n"/>
      <c r="P14" s="14" t="n"/>
      <c r="Q14" s="14" t="n"/>
      <c r="R14" s="14" t="n"/>
      <c r="S14" s="14" t="n"/>
      <c r="T14" s="14" t="n"/>
      <c r="U14" s="14" t="n"/>
      <c r="V14" s="14" t="n"/>
      <c r="W14" s="14" t="n"/>
      <c r="X14" s="14" t="n"/>
      <c r="Y14" s="14" t="n"/>
      <c r="Z14" s="14" t="n"/>
      <c r="AA14" s="14" t="n"/>
      <c r="AB14" s="14" t="n"/>
      <c r="AC14" s="14" t="n"/>
      <c r="AD14" s="14" t="n"/>
      <c r="AE14" s="14" t="n"/>
      <c r="AF14" s="14" t="n"/>
      <c r="AG14" s="14"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n"/>
      <c r="H15" s="15" t="inlineStr">
        <is>
          <t>Perfect Order</t>
        </is>
      </c>
      <c r="I15" s="14" t="n"/>
      <c r="J15" s="14" t="n"/>
      <c r="K15" s="14" t="n"/>
      <c r="L15" s="14" t="n"/>
      <c r="M15" s="14">
        <f>SUM(I15,R15,T15,V15,X15)</f>
        <v/>
      </c>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n"/>
      <c r="H16" s="15" t="inlineStr">
        <is>
          <t>Pitch Black</t>
        </is>
      </c>
      <c r="I16" s="14" t="n"/>
      <c r="J16" s="14" t="n"/>
      <c r="K16" s="14" t="n"/>
      <c r="L16" s="14" t="n"/>
      <c r="M16" s="14">
        <f>SUM(I16,R16,T16,V16,X16)</f>
        <v/>
      </c>
      <c r="N16" s="14" t="inlineStr">
        <is>
          <t>Yes</t>
        </is>
      </c>
      <c r="O16" s="14" t="n"/>
      <c r="P16" s="14" t="n"/>
      <c r="Q16" s="14" t="n"/>
      <c r="R16" s="14" t="n"/>
      <c r="S16" s="14" t="n"/>
      <c r="T16" s="14" t="n"/>
      <c r="U16" s="14" t="n"/>
      <c r="V16" s="14" t="n"/>
      <c r="W16" s="14" t="n"/>
      <c r="X16" s="14" t="n"/>
      <c r="Y16" s="14" t="n"/>
      <c r="Z16" s="14" t="n"/>
      <c r="AA16" s="14" t="n"/>
      <c r="AB16" s="14" t="n"/>
      <c r="AC16" s="14" t="n"/>
      <c r="AD16" s="14" t="n"/>
      <c r="AE16" s="14" t="n"/>
      <c r="AF16" s="14" t="n"/>
      <c r="AG16" s="14"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n"/>
      <c r="H17" s="15" t="inlineStr">
        <is>
          <t>Pitch Black</t>
        </is>
      </c>
      <c r="I17" s="14" t="n"/>
      <c r="J17" s="14" t="n"/>
      <c r="K17" s="14" t="n"/>
      <c r="L17" s="14" t="n"/>
      <c r="M17" s="14">
        <f>SUM(I17,R17,T17,V17,X17)</f>
        <v/>
      </c>
      <c r="N17" s="14" t="inlineStr">
        <is>
          <t>Yes</t>
        </is>
      </c>
      <c r="O17" s="14" t="n"/>
      <c r="P17" s="14" t="n"/>
      <c r="Q17" s="14" t="n"/>
      <c r="R17" s="14" t="n"/>
      <c r="S17" s="14" t="n"/>
      <c r="T17" s="14" t="n"/>
      <c r="U17" s="14" t="n"/>
      <c r="V17" s="14" t="n"/>
      <c r="W17" s="14" t="n"/>
      <c r="X17" s="14" t="n"/>
      <c r="Y17" s="14" t="n"/>
      <c r="Z17" s="14" t="n"/>
      <c r="AA17" s="14" t="n"/>
      <c r="AB17" s="14" t="n"/>
      <c r="AC17" s="14" t="n"/>
      <c r="AD17" s="14" t="n"/>
      <c r="AE17" s="14" t="n"/>
      <c r="AF17" s="14" t="n"/>
      <c r="AG17" s="14"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n"/>
      <c r="H18" s="15" t="inlineStr">
        <is>
          <t>Pitch Black</t>
        </is>
      </c>
      <c r="I18" s="14" t="n"/>
      <c r="J18" s="14" t="n"/>
      <c r="K18" s="14" t="n"/>
      <c r="L18" s="14" t="n"/>
      <c r="M18" s="14">
        <f>SUM(I18,R18,T18,V18,X18)</f>
        <v/>
      </c>
      <c r="N18" s="14" t="inlineStr">
        <is>
          <t>Yes</t>
        </is>
      </c>
      <c r="O18" s="14" t="n"/>
      <c r="P18" s="14" t="n"/>
      <c r="Q18" s="14" t="n"/>
      <c r="R18" s="14" t="n"/>
      <c r="S18" s="14" t="n"/>
      <c r="T18" s="14" t="n"/>
      <c r="U18" s="14" t="n"/>
      <c r="V18" s="14" t="n"/>
      <c r="W18" s="14" t="n"/>
      <c r="X18" s="14" t="n"/>
      <c r="Y18" s="14" t="n"/>
      <c r="Z18" s="14" t="n"/>
      <c r="AA18" s="14" t="n"/>
      <c r="AB18" s="14" t="n"/>
      <c r="AC18" s="14" t="n"/>
      <c r="AD18" s="14" t="n"/>
      <c r="AE18" s="14" t="n"/>
      <c r="AF18" s="14" t="n"/>
      <c r="AG18" s="14"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n"/>
      <c r="H19" s="15" t="inlineStr">
        <is>
          <t>Perfect Order</t>
        </is>
      </c>
      <c r="I19" s="14" t="n"/>
      <c r="J19" s="14" t="n"/>
      <c r="K19" s="14" t="n"/>
      <c r="L19" s="14" t="n"/>
      <c r="M19" s="14">
        <f>SUM(I19,R19,T19,V19,X19)</f>
        <v/>
      </c>
      <c r="N19" s="14" t="inlineStr">
        <is>
          <t>Yes</t>
        </is>
      </c>
      <c r="O19" s="14" t="n"/>
      <c r="P19" s="14" t="n"/>
      <c r="Q19" s="14" t="n"/>
      <c r="R19" s="14" t="n"/>
      <c r="S19" s="14" t="n"/>
      <c r="T19" s="14" t="n"/>
      <c r="U19" s="14" t="n"/>
      <c r="V19" s="14" t="n"/>
      <c r="W19" s="14" t="n"/>
      <c r="X19" s="14" t="n"/>
      <c r="Y19" s="14" t="n"/>
      <c r="Z19" s="14" t="n"/>
      <c r="AA19" s="14" t="n"/>
      <c r="AB19" s="14" t="n"/>
      <c r="AC19" s="14" t="n"/>
      <c r="AD19" s="14" t="n"/>
      <c r="AE19" s="14" t="n"/>
      <c r="AF19" s="14" t="n"/>
      <c r="AG19" s="14"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n"/>
      <c r="H20" s="15" t="inlineStr">
        <is>
          <t>Pitch Black</t>
        </is>
      </c>
      <c r="I20" s="14" t="n"/>
      <c r="J20" s="14" t="n"/>
      <c r="K20" s="14" t="n"/>
      <c r="L20" s="14" t="n"/>
      <c r="M20" s="14">
        <f>SUM(I20,R20,T20,V20,X20)</f>
        <v/>
      </c>
      <c r="N20" s="14" t="inlineStr">
        <is>
          <t>Yes</t>
        </is>
      </c>
      <c r="O20" s="14" t="n"/>
      <c r="P20" s="14" t="n"/>
      <c r="Q20" s="14" t="n"/>
      <c r="R20" s="14" t="n"/>
      <c r="S20" s="14" t="n"/>
      <c r="T20" s="14" t="n"/>
      <c r="U20" s="14" t="n"/>
      <c r="V20" s="14" t="n"/>
      <c r="W20" s="14" t="n"/>
      <c r="X20" s="14" t="n"/>
      <c r="Y20" s="14" t="n"/>
      <c r="Z20" s="14" t="n"/>
      <c r="AA20" s="14" t="n"/>
      <c r="AB20" s="14" t="n"/>
      <c r="AC20" s="14" t="n"/>
      <c r="AD20" s="14" t="n"/>
      <c r="AE20" s="14" t="n"/>
      <c r="AF20" s="14" t="n"/>
      <c r="AG20" s="14"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n"/>
      <c r="H21" s="15" t="inlineStr">
        <is>
          <t>Pitch Black</t>
        </is>
      </c>
      <c r="I21" s="14" t="n"/>
      <c r="J21" s="14" t="n"/>
      <c r="K21" s="14" t="n"/>
      <c r="L21" s="14" t="n"/>
      <c r="M21" s="14">
        <f>SUM(I21,R21,T21,V21,X21)</f>
        <v/>
      </c>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n"/>
      <c r="H22" s="15" t="inlineStr">
        <is>
          <t>Pitch Black</t>
        </is>
      </c>
      <c r="I22" s="14" t="n"/>
      <c r="J22" s="14" t="n"/>
      <c r="K22" s="14" t="n"/>
      <c r="L22" s="14" t="n"/>
      <c r="M22" s="14">
        <f>SUM(I22,R22,T22,V22,X22)</f>
        <v/>
      </c>
      <c r="N22" s="14" t="inlineStr">
        <is>
          <t>Yes</t>
        </is>
      </c>
      <c r="O22" s="14" t="n"/>
      <c r="P22" s="14" t="n"/>
      <c r="Q22" s="14" t="n"/>
      <c r="R22" s="14" t="n"/>
      <c r="S22" s="14" t="n"/>
      <c r="T22" s="14" t="n"/>
      <c r="U22" s="14" t="n"/>
      <c r="V22" s="14" t="n"/>
      <c r="W22" s="14" t="n"/>
      <c r="X22" s="14" t="n"/>
      <c r="Y22" s="14" t="n"/>
      <c r="Z22" s="14" t="n"/>
      <c r="AA22" s="14" t="n"/>
      <c r="AB22" s="14" t="n"/>
      <c r="AC22" s="14" t="n"/>
      <c r="AD22" s="14" t="n"/>
      <c r="AE22" s="14" t="n"/>
      <c r="AF22" s="14" t="n"/>
      <c r="AG22" s="14"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n"/>
      <c r="H23" s="15" t="inlineStr">
        <is>
          <t>Phantasmal Flames</t>
        </is>
      </c>
      <c r="I23" s="14" t="n"/>
      <c r="J23" s="14" t="n"/>
      <c r="K23" s="14" t="n"/>
      <c r="L23" s="14" t="n"/>
      <c r="M23" s="14">
        <f>SUM(I23,R23,T23,V23,X23)</f>
        <v/>
      </c>
      <c r="N23" s="14" t="inlineStr">
        <is>
          <t>Yes</t>
        </is>
      </c>
      <c r="O23" s="14" t="n"/>
      <c r="P23" s="14" t="n"/>
      <c r="Q23" s="14" t="n"/>
      <c r="R23" s="14" t="n"/>
      <c r="S23" s="14" t="n"/>
      <c r="T23" s="14" t="n"/>
      <c r="U23" s="14" t="n"/>
      <c r="V23" s="14" t="n"/>
      <c r="W23" s="14" t="n"/>
      <c r="X23" s="14" t="n"/>
      <c r="Y23" s="14" t="n"/>
      <c r="Z23" s="14" t="n"/>
      <c r="AA23" s="14" t="n"/>
      <c r="AB23" s="14" t="n"/>
      <c r="AC23" s="14" t="n"/>
      <c r="AD23" s="14" t="n"/>
      <c r="AE23" s="14" t="n"/>
      <c r="AF23" s="14" t="n"/>
      <c r="AG23" s="14"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n"/>
      <c r="H24" s="15" t="inlineStr">
        <is>
          <t>Chaos Rising</t>
        </is>
      </c>
      <c r="I24" s="14" t="n"/>
      <c r="J24" s="14" t="n"/>
      <c r="K24" s="14" t="n"/>
      <c r="L24" s="14" t="n"/>
      <c r="M24" s="14">
        <f>SUM(I24,R24,T24,V24,X24)</f>
        <v/>
      </c>
      <c r="N24" s="14" t="inlineStr">
        <is>
          <t>Yes</t>
        </is>
      </c>
      <c r="O24" s="14" t="n"/>
      <c r="P24" s="14" t="n"/>
      <c r="Q24" s="14" t="n"/>
      <c r="R24" s="14" t="n"/>
      <c r="S24" s="14" t="n"/>
      <c r="T24" s="14" t="n"/>
      <c r="U24" s="14" t="n"/>
      <c r="V24" s="14" t="n"/>
      <c r="W24" s="14" t="n"/>
      <c r="X24" s="14" t="n"/>
      <c r="Y24" s="14" t="n"/>
      <c r="Z24" s="14" t="n"/>
      <c r="AA24" s="14" t="n"/>
      <c r="AB24" s="14" t="n"/>
      <c r="AC24" s="14" t="n"/>
      <c r="AD24" s="14" t="n"/>
      <c r="AE24" s="14" t="n"/>
      <c r="AF24" s="14" t="n"/>
      <c r="AG24" s="14"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n"/>
      <c r="H25" s="15" t="inlineStr">
        <is>
          <t>Chaos Rising</t>
        </is>
      </c>
      <c r="I25" s="14" t="n"/>
      <c r="J25" s="14" t="n"/>
      <c r="K25" s="14" t="n"/>
      <c r="L25" s="14" t="n"/>
      <c r="M25" s="14">
        <f>SUM(I25,R25,T25,V25,X25)</f>
        <v/>
      </c>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n"/>
      <c r="H26" s="15" t="inlineStr">
        <is>
          <t>Pitch Black</t>
        </is>
      </c>
      <c r="I26" s="14" t="n"/>
      <c r="J26" s="14" t="n"/>
      <c r="K26" s="14" t="n"/>
      <c r="L26" s="14" t="n"/>
      <c r="M26" s="14">
        <f>SUM(I26,R26,T26,V26,X26)</f>
        <v/>
      </c>
      <c r="N26" s="14" t="inlineStr">
        <is>
          <t>Yes</t>
        </is>
      </c>
      <c r="O26" s="14" t="n"/>
      <c r="P26" s="14" t="n"/>
      <c r="Q26" s="14" t="n"/>
      <c r="R26" s="14" t="n"/>
      <c r="S26" s="14" t="n"/>
      <c r="T26" s="14" t="n"/>
      <c r="U26" s="14" t="n"/>
      <c r="V26" s="14" t="n"/>
      <c r="W26" s="14" t="n"/>
      <c r="X26" s="14" t="n"/>
      <c r="Y26" s="14" t="n"/>
      <c r="Z26" s="14" t="n"/>
      <c r="AA26" s="14" t="n"/>
      <c r="AB26" s="14" t="n"/>
      <c r="AC26" s="14" t="n"/>
      <c r="AD26" s="14" t="n"/>
      <c r="AE26" s="14" t="n"/>
      <c r="AF26" s="14" t="n"/>
      <c r="AG26" s="14"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n"/>
      <c r="H27" s="15" t="inlineStr">
        <is>
          <t>Pitch Black</t>
        </is>
      </c>
      <c r="I27" s="14" t="n"/>
      <c r="J27" s="14" t="n"/>
      <c r="K27" s="14" t="n"/>
      <c r="L27" s="14" t="n"/>
      <c r="M27" s="14">
        <f>SUM(I27,R27,T27,V27,X27)</f>
        <v/>
      </c>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n"/>
      <c r="H28" s="15" t="inlineStr">
        <is>
          <t>Pitch Black</t>
        </is>
      </c>
      <c r="I28" s="14" t="n"/>
      <c r="J28" s="14" t="n"/>
      <c r="K28" s="14" t="n"/>
      <c r="L28" s="14" t="n"/>
      <c r="M28" s="14">
        <f>SUM(I28,R28,T28,V28,X28)</f>
        <v/>
      </c>
      <c r="N28" s="14" t="inlineStr">
        <is>
          <t>Yes</t>
        </is>
      </c>
      <c r="O28" s="14" t="n"/>
      <c r="P28" s="14" t="n"/>
      <c r="Q28" s="14" t="n"/>
      <c r="R28" s="14" t="n"/>
      <c r="S28" s="14" t="n"/>
      <c r="T28" s="14" t="n"/>
      <c r="U28" s="14" t="n"/>
      <c r="V28" s="14" t="n"/>
      <c r="W28" s="14" t="n"/>
      <c r="X28" s="14" t="n"/>
      <c r="Y28" s="14" t="n"/>
      <c r="Z28" s="14" t="n"/>
      <c r="AA28" s="14" t="n"/>
      <c r="AB28" s="14" t="n"/>
      <c r="AC28" s="14" t="n"/>
      <c r="AD28" s="14" t="n"/>
      <c r="AE28" s="14" t="n"/>
      <c r="AF28" s="14" t="n"/>
      <c r="AG28" s="14"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n"/>
      <c r="H29" s="15" t="inlineStr">
        <is>
          <t>Phantasmal Flames</t>
        </is>
      </c>
      <c r="I29" s="14" t="n"/>
      <c r="J29" s="14" t="n"/>
      <c r="K29" s="14" t="n"/>
      <c r="L29" s="14" t="n"/>
      <c r="M29" s="14">
        <f>SUM(I29,R29,T29,V29,X29)</f>
        <v/>
      </c>
      <c r="N29" s="14" t="inlineStr">
        <is>
          <t>Yes</t>
        </is>
      </c>
      <c r="O29" s="14" t="n"/>
      <c r="P29" s="14" t="n"/>
      <c r="Q29" s="14" t="n"/>
      <c r="R29" s="14" t="n"/>
      <c r="S29" s="14" t="n"/>
      <c r="T29" s="14" t="n"/>
      <c r="U29" s="14" t="n"/>
      <c r="V29" s="14" t="n"/>
      <c r="W29" s="14" t="n"/>
      <c r="X29" s="14" t="n"/>
      <c r="Y29" s="14" t="n"/>
      <c r="Z29" s="14" t="n"/>
      <c r="AA29" s="14" t="n"/>
      <c r="AB29" s="14" t="n"/>
      <c r="AC29" s="14" t="n"/>
      <c r="AD29" s="14" t="n"/>
      <c r="AE29" s="14" t="n"/>
      <c r="AF29" s="14" t="n"/>
      <c r="AG29" s="14"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n"/>
      <c r="H30" s="15" t="inlineStr">
        <is>
          <t>Perfect Order</t>
        </is>
      </c>
      <c r="I30" s="14" t="n"/>
      <c r="J30" s="14" t="n"/>
      <c r="K30" s="14" t="n"/>
      <c r="L30" s="14" t="n"/>
      <c r="M30" s="14">
        <f>SUM(I30,R30,T30,V30,X30)</f>
        <v/>
      </c>
      <c r="N30" s="14" t="n"/>
      <c r="O30" s="14" t="n"/>
      <c r="P30" s="14" t="n"/>
      <c r="Q30" s="15" t="inlineStr">
        <is>
          <t>Chaos Rising</t>
        </is>
      </c>
      <c r="R30" s="14" t="n"/>
      <c r="S30" s="14" t="n"/>
      <c r="T30" s="14" t="n"/>
      <c r="U30" s="14" t="n"/>
      <c r="V30" s="14" t="n"/>
      <c r="W30" s="14" t="n"/>
      <c r="X30" s="14" t="n"/>
      <c r="Y30" s="14" t="n"/>
      <c r="Z30" s="14" t="n"/>
      <c r="AA30" s="14" t="n"/>
      <c r="AB30" s="14" t="n"/>
      <c r="AC30" s="14" t="n"/>
      <c r="AD30" s="14" t="n"/>
      <c r="AE30" s="14" t="n"/>
      <c r="AF30" s="14" t="n"/>
      <c r="AG30" s="14"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n"/>
      <c r="H31" s="15" t="inlineStr">
        <is>
          <t>Chaos Rising</t>
        </is>
      </c>
      <c r="I31" s="14" t="n"/>
      <c r="J31" s="14" t="n"/>
      <c r="K31" s="14" t="n"/>
      <c r="L31" s="14" t="n"/>
      <c r="M31" s="14">
        <f>SUM(I31,R31,T31,V31,X31)</f>
        <v/>
      </c>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n"/>
      <c r="H32" s="15" t="inlineStr">
        <is>
          <t>Pitch Black</t>
        </is>
      </c>
      <c r="I32" s="14" t="n"/>
      <c r="J32" s="14" t="n"/>
      <c r="K32" s="14" t="n"/>
      <c r="L32" s="14" t="n"/>
      <c r="M32" s="14">
        <f>SUM(I32,R32,T32,V32,X32)</f>
        <v/>
      </c>
      <c r="N32" s="14" t="inlineStr">
        <is>
          <t>Yes</t>
        </is>
      </c>
      <c r="O32" s="14" t="n"/>
      <c r="P32" s="14" t="n"/>
      <c r="Q32" s="14" t="n"/>
      <c r="R32" s="14" t="n"/>
      <c r="S32" s="14" t="n"/>
      <c r="T32" s="14" t="n"/>
      <c r="U32" s="14" t="n"/>
      <c r="V32" s="14" t="n"/>
      <c r="W32" s="14" t="n"/>
      <c r="X32" s="14" t="n"/>
      <c r="Y32" s="14" t="n"/>
      <c r="Z32" s="14" t="n"/>
      <c r="AA32" s="14" t="n"/>
      <c r="AB32" s="14" t="n"/>
      <c r="AC32" s="14" t="n"/>
      <c r="AD32" s="14" t="n"/>
      <c r="AE32" s="14" t="n"/>
      <c r="AF32" s="14" t="n"/>
      <c r="AG32" s="14"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n"/>
      <c r="H33" s="15" t="inlineStr">
        <is>
          <t>Pitch Black</t>
        </is>
      </c>
      <c r="I33" s="14" t="n"/>
      <c r="J33" s="14" t="n"/>
      <c r="K33" s="14" t="n"/>
      <c r="L33" s="14" t="n"/>
      <c r="M33" s="14">
        <f>SUM(I33,R33,T33,V33,X33)</f>
        <v/>
      </c>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n"/>
      <c r="H34" s="15" t="inlineStr">
        <is>
          <t>Pitch Black</t>
        </is>
      </c>
      <c r="I34" s="14" t="n"/>
      <c r="J34" s="14" t="n"/>
      <c r="K34" s="14" t="n"/>
      <c r="L34" s="14" t="n"/>
      <c r="M34" s="14">
        <f>SUM(I34,R34,T34,V34,X34)</f>
        <v/>
      </c>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n"/>
      <c r="H35" s="15" t="inlineStr">
        <is>
          <t>Phantasmal Flames</t>
        </is>
      </c>
      <c r="I35" s="14" t="n"/>
      <c r="J35" s="14" t="n"/>
      <c r="K35" s="14" t="n"/>
      <c r="L35" s="14" t="n"/>
      <c r="M35" s="14">
        <f>SUM(I35,R35,T35,V35,X35)</f>
        <v/>
      </c>
      <c r="N35" s="14" t="inlineStr">
        <is>
          <t>Yes</t>
        </is>
      </c>
      <c r="O35" s="14" t="n"/>
      <c r="P35" s="14" t="n"/>
      <c r="Q35" s="15" t="inlineStr">
        <is>
          <t>Perfect Order</t>
        </is>
      </c>
      <c r="R35" s="14" t="n"/>
      <c r="S35" s="14" t="n"/>
      <c r="T35" s="14" t="n"/>
      <c r="U35" s="14" t="n"/>
      <c r="V35" s="14" t="n"/>
      <c r="W35" s="14" t="n"/>
      <c r="X35" s="14" t="n"/>
      <c r="Y35" s="14" t="n"/>
      <c r="Z35" s="14" t="n"/>
      <c r="AA35" s="14" t="n"/>
      <c r="AB35" s="14" t="n"/>
      <c r="AC35" s="14" t="n"/>
      <c r="AD35" s="14" t="n"/>
      <c r="AE35" s="14" t="n"/>
      <c r="AF35" s="14" t="n"/>
      <c r="AG35" s="14"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n"/>
      <c r="H36" s="15" t="inlineStr">
        <is>
          <t>Twilight Masquerade</t>
        </is>
      </c>
      <c r="I36" s="14" t="n"/>
      <c r="J36" s="14" t="n"/>
      <c r="K36" s="14" t="n"/>
      <c r="L36" s="14" t="n"/>
      <c r="M36" s="14">
        <f>SUM(I36,R36,T36,V36,X36)</f>
        <v/>
      </c>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n"/>
      <c r="H37" s="15" t="inlineStr">
        <is>
          <t>Chaos Rising</t>
        </is>
      </c>
      <c r="I37" s="14" t="n"/>
      <c r="J37" s="14" t="n"/>
      <c r="K37" s="14" t="n"/>
      <c r="L37" s="14" t="n"/>
      <c r="M37" s="14">
        <f>SUM(I37,R37,T37,V37,X37)</f>
        <v/>
      </c>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n"/>
      <c r="H38" s="15" t="inlineStr">
        <is>
          <t>Pitch Black</t>
        </is>
      </c>
      <c r="I38" s="14" t="n"/>
      <c r="J38" s="14" t="n"/>
      <c r="K38" s="14" t="n"/>
      <c r="L38" s="14" t="n"/>
      <c r="M38" s="14">
        <f>SUM(I38,R38,T38,V38,X38)</f>
        <v/>
      </c>
      <c r="N38" s="14" t="inlineStr">
        <is>
          <t>Yes</t>
        </is>
      </c>
      <c r="O38" s="14" t="n"/>
      <c r="P38" s="14" t="n"/>
      <c r="Q38" s="14" t="n"/>
      <c r="R38" s="14" t="n"/>
      <c r="S38" s="14" t="n"/>
      <c r="T38" s="14" t="n"/>
      <c r="U38" s="14" t="n"/>
      <c r="V38" s="14" t="n"/>
      <c r="W38" s="14" t="n"/>
      <c r="X38" s="14" t="n"/>
      <c r="Y38" s="14" t="n"/>
      <c r="Z38" s="14" t="n"/>
      <c r="AA38" s="14" t="n"/>
      <c r="AB38" s="14" t="n"/>
      <c r="AC38" s="14" t="n"/>
      <c r="AD38" s="14" t="n"/>
      <c r="AE38" s="14" t="n"/>
      <c r="AF38" s="14" t="n"/>
      <c r="AG38" s="14"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n"/>
      <c r="H39" s="15" t="inlineStr">
        <is>
          <t>Pitch Black</t>
        </is>
      </c>
      <c r="I39" s="14" t="n"/>
      <c r="J39" s="14" t="n"/>
      <c r="K39" s="14" t="n"/>
      <c r="L39" s="14" t="n"/>
      <c r="M39" s="14">
        <f>SUM(I39,R39,T39,V39,X39)</f>
        <v/>
      </c>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n"/>
      <c r="H40" s="15" t="inlineStr">
        <is>
          <t>Perfect Order</t>
        </is>
      </c>
      <c r="I40" s="14" t="n"/>
      <c r="J40" s="14" t="n"/>
      <c r="K40" s="14" t="n"/>
      <c r="L40" s="14" t="n"/>
      <c r="M40" s="14">
        <f>SUM(I40,R40,T40,V40,X40)</f>
        <v/>
      </c>
      <c r="N40" s="14" t="inlineStr">
        <is>
          <t>Yes</t>
        </is>
      </c>
      <c r="O40" s="14" t="n"/>
      <c r="P40" s="14" t="n"/>
      <c r="Q40" s="14" t="n"/>
      <c r="R40" s="14" t="n"/>
      <c r="S40" s="14" t="n"/>
      <c r="T40" s="14" t="n"/>
      <c r="U40" s="14" t="n"/>
      <c r="V40" s="14" t="n"/>
      <c r="W40" s="14" t="n"/>
      <c r="X40" s="14" t="n"/>
      <c r="Y40" s="14" t="n"/>
      <c r="Z40" s="14" t="n"/>
      <c r="AA40" s="14" t="n"/>
      <c r="AB40" s="14" t="n"/>
      <c r="AC40" s="14" t="n"/>
      <c r="AD40" s="14" t="n"/>
      <c r="AE40" s="14" t="n"/>
      <c r="AF40" s="14" t="n"/>
      <c r="AG40" s="14"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n"/>
      <c r="H41" s="15" t="inlineStr">
        <is>
          <t>Pitch Black</t>
        </is>
      </c>
      <c r="I41" s="14" t="n"/>
      <c r="J41" s="14" t="n"/>
      <c r="K41" s="14" t="n"/>
      <c r="L41" s="14" t="n"/>
      <c r="M41" s="14">
        <f>SUM(I41,R41,T41,V41,X41)</f>
        <v/>
      </c>
      <c r="N41" s="14" t="inlineStr">
        <is>
          <t>Yes</t>
        </is>
      </c>
      <c r="O41" s="14" t="n"/>
      <c r="P41" s="14" t="n"/>
      <c r="Q41" s="14" t="n"/>
      <c r="R41" s="14" t="n"/>
      <c r="S41" s="14" t="n"/>
      <c r="T41" s="14" t="n"/>
      <c r="U41" s="14" t="n"/>
      <c r="V41" s="14" t="n"/>
      <c r="W41" s="14" t="n"/>
      <c r="X41" s="14" t="n"/>
      <c r="Y41" s="14" t="n"/>
      <c r="Z41" s="14" t="n"/>
      <c r="AA41" s="14" t="n"/>
      <c r="AB41" s="14" t="n"/>
      <c r="AC41" s="14" t="n"/>
      <c r="AD41" s="14" t="n"/>
      <c r="AE41" s="14" t="n"/>
      <c r="AF41" s="14" t="n"/>
      <c r="AG41" s="14"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n"/>
      <c r="H42" s="15" t="inlineStr">
        <is>
          <t>Surging Sparks</t>
        </is>
      </c>
      <c r="I42" s="14" t="n"/>
      <c r="J42" s="14" t="n"/>
      <c r="K42" s="14" t="n"/>
      <c r="L42" s="14" t="n"/>
      <c r="M42" s="14">
        <f>SUM(I42,R42,T42,V42,X42)</f>
        <v/>
      </c>
      <c r="N42" s="14" t="n"/>
      <c r="O42" s="14" t="n"/>
      <c r="P42" s="14" t="n"/>
      <c r="Q42" s="15" t="inlineStr">
        <is>
          <t>Twilight Masquerade</t>
        </is>
      </c>
      <c r="R42" s="14" t="n"/>
      <c r="S42" s="14" t="n"/>
      <c r="T42" s="14" t="n"/>
      <c r="U42" s="14" t="n"/>
      <c r="V42" s="14" t="n"/>
      <c r="W42" s="14" t="n"/>
      <c r="X42" s="14" t="n"/>
      <c r="Y42" s="14" t="n"/>
      <c r="Z42" s="14" t="n"/>
      <c r="AA42" s="14" t="n"/>
      <c r="AB42" s="14" t="n"/>
      <c r="AC42" s="14" t="n"/>
      <c r="AD42" s="14" t="n"/>
      <c r="AE42" s="14" t="n"/>
      <c r="AF42" s="14" t="n"/>
      <c r="AG42" s="14"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n"/>
      <c r="H43" s="15" t="inlineStr">
        <is>
          <t>Chaos Rising</t>
        </is>
      </c>
      <c r="I43" s="14" t="n"/>
      <c r="J43" s="14" t="n"/>
      <c r="K43" s="14" t="n"/>
      <c r="L43" s="14" t="n"/>
      <c r="M43" s="14">
        <f>SUM(I43,R43,T43,V43,X43)</f>
        <v/>
      </c>
      <c r="N43" s="14" t="inlineStr">
        <is>
          <t>Yes</t>
        </is>
      </c>
      <c r="O43" s="14" t="n"/>
      <c r="P43" s="14" t="n"/>
      <c r="Q43" s="14" t="n"/>
      <c r="R43" s="14" t="n"/>
      <c r="S43" s="14" t="n"/>
      <c r="T43" s="14" t="n"/>
      <c r="U43" s="14" t="n"/>
      <c r="V43" s="14" t="n"/>
      <c r="W43" s="14" t="n"/>
      <c r="X43" s="14" t="n"/>
      <c r="Y43" s="14" t="n"/>
      <c r="Z43" s="14" t="n"/>
      <c r="AA43" s="14" t="n"/>
      <c r="AB43" s="14" t="n"/>
      <c r="AC43" s="14" t="n"/>
      <c r="AD43" s="14" t="n"/>
      <c r="AE43" s="14" t="n"/>
      <c r="AF43" s="14" t="n"/>
      <c r="AG43" s="14"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n"/>
      <c r="H44" s="15" t="inlineStr">
        <is>
          <t>Chaos Rising</t>
        </is>
      </c>
      <c r="I44" s="14" t="n"/>
      <c r="J44" s="14" t="n"/>
      <c r="K44" s="14" t="n"/>
      <c r="L44" s="14" t="n"/>
      <c r="M44" s="14">
        <f>SUM(I44,R44,T44,V44,X44)</f>
        <v/>
      </c>
      <c r="N44" s="14" t="inlineStr">
        <is>
          <t>Yes</t>
        </is>
      </c>
      <c r="O44" s="14" t="n"/>
      <c r="P44" s="14" t="n"/>
      <c r="Q44" s="14" t="n"/>
      <c r="R44" s="14" t="n"/>
      <c r="S44" s="14" t="n"/>
      <c r="T44" s="14" t="n"/>
      <c r="U44" s="14" t="n"/>
      <c r="V44" s="14" t="n"/>
      <c r="W44" s="14" t="n"/>
      <c r="X44" s="14" t="n"/>
      <c r="Y44" s="14" t="n"/>
      <c r="Z44" s="14" t="n"/>
      <c r="AA44" s="14" t="n"/>
      <c r="AB44" s="14" t="n"/>
      <c r="AC44" s="14" t="n"/>
      <c r="AD44" s="14" t="n"/>
      <c r="AE44" s="14" t="n"/>
      <c r="AF44" s="14" t="n"/>
      <c r="AG44" s="14"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n"/>
      <c r="H45" s="15" t="inlineStr">
        <is>
          <t>Perfect Order</t>
        </is>
      </c>
      <c r="I45" s="14" t="n"/>
      <c r="J45" s="14" t="n"/>
      <c r="K45" s="14" t="n"/>
      <c r="L45" s="14" t="n"/>
      <c r="M45" s="14">
        <f>SUM(I45,R45,T45,V45,X45)</f>
        <v/>
      </c>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n"/>
      <c r="H46" s="15" t="inlineStr">
        <is>
          <t>Perfect Order</t>
        </is>
      </c>
      <c r="I46" s="14" t="n"/>
      <c r="J46" s="14" t="n"/>
      <c r="K46" s="14" t="n"/>
      <c r="L46" s="14" t="n"/>
      <c r="M46" s="14">
        <f>SUM(I46,R46,T46,V46,X46)</f>
        <v/>
      </c>
      <c r="N46" s="14" t="inlineStr">
        <is>
          <t>Yes</t>
        </is>
      </c>
      <c r="O46" s="14" t="n"/>
      <c r="P46" s="14" t="n"/>
      <c r="Q46" s="14" t="n"/>
      <c r="R46" s="14" t="n"/>
      <c r="S46" s="14" t="n"/>
      <c r="T46" s="14" t="n"/>
      <c r="U46" s="14" t="n"/>
      <c r="V46" s="14" t="n"/>
      <c r="W46" s="14" t="n"/>
      <c r="X46" s="14" t="n"/>
      <c r="Y46" s="14" t="n"/>
      <c r="Z46" s="14" t="n"/>
      <c r="AA46" s="14" t="n"/>
      <c r="AB46" s="14" t="n"/>
      <c r="AC46" s="14" t="n"/>
      <c r="AD46" s="14" t="n"/>
      <c r="AE46" s="14" t="n"/>
      <c r="AF46" s="14" t="n"/>
      <c r="AG46" s="14"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n"/>
      <c r="H47" s="15" t="inlineStr">
        <is>
          <t>Perfect Order</t>
        </is>
      </c>
      <c r="I47" s="14" t="n"/>
      <c r="J47" s="14" t="n"/>
      <c r="K47" s="14" t="n"/>
      <c r="L47" s="14" t="n"/>
      <c r="M47" s="14">
        <f>SUM(I47,R47,T47,V47,X47)</f>
        <v/>
      </c>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n"/>
      <c r="H48" s="15" t="inlineStr">
        <is>
          <t>Ascended Heroes</t>
        </is>
      </c>
      <c r="I48" s="14" t="n"/>
      <c r="J48" s="14" t="n"/>
      <c r="K48" s="14" t="n"/>
      <c r="L48" s="14" t="n"/>
      <c r="M48" s="14">
        <f>SUM(I48,R48,T48,V48,X48)</f>
        <v/>
      </c>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n"/>
      <c r="H49" s="15" t="inlineStr">
        <is>
          <t>Chaos Rising</t>
        </is>
      </c>
      <c r="I49" s="14" t="n"/>
      <c r="J49" s="14" t="n"/>
      <c r="K49" s="14" t="n"/>
      <c r="L49" s="14" t="n"/>
      <c r="M49" s="14">
        <f>SUM(I49,R49,T49,V49,X49)</f>
        <v/>
      </c>
      <c r="N49" s="14" t="inlineStr">
        <is>
          <t>Yes</t>
        </is>
      </c>
      <c r="O49" s="14" t="n"/>
      <c r="P49" s="14" t="n"/>
      <c r="Q49" s="14" t="n"/>
      <c r="R49" s="14" t="n"/>
      <c r="S49" s="14" t="n"/>
      <c r="T49" s="14" t="n"/>
      <c r="U49" s="14" t="n"/>
      <c r="V49" s="14" t="n"/>
      <c r="W49" s="14" t="n"/>
      <c r="X49" s="14" t="n"/>
      <c r="Y49" s="14" t="n"/>
      <c r="Z49" s="14" t="n"/>
      <c r="AA49" s="14" t="n"/>
      <c r="AB49" s="14" t="n"/>
      <c r="AC49" s="14" t="n"/>
      <c r="AD49" s="14" t="n"/>
      <c r="AE49" s="14" t="n"/>
      <c r="AF49" s="14" t="n"/>
      <c r="AG49" s="14"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n"/>
      <c r="H50" s="15" t="inlineStr">
        <is>
          <t>Ascended Heroes</t>
        </is>
      </c>
      <c r="I50" s="14" t="n"/>
      <c r="J50" s="14" t="n"/>
      <c r="K50" s="14" t="n"/>
      <c r="L50" s="14" t="n"/>
      <c r="M50" s="14">
        <f>SUM(I50,R50,T50,V50,X50)</f>
        <v/>
      </c>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n"/>
      <c r="H51" s="14" t="n"/>
      <c r="I51" s="14" t="n"/>
      <c r="J51" s="14" t="n"/>
      <c r="K51" s="14" t="n"/>
      <c r="L51" s="14" t="n"/>
      <c r="M51" s="14">
        <f>SUM(I51,R51,T51,V51,X51)</f>
        <v/>
      </c>
      <c r="N51" s="14" t="inlineStr">
        <is>
          <t>Yes</t>
        </is>
      </c>
      <c r="O51" s="14" t="n"/>
      <c r="P51" s="14" t="n"/>
      <c r="Q51" s="14" t="n"/>
      <c r="R51" s="14" t="n"/>
      <c r="S51" s="14" t="n"/>
      <c r="T51" s="14" t="n"/>
      <c r="U51" s="14" t="n"/>
      <c r="V51" s="14" t="n"/>
      <c r="W51" s="14" t="n"/>
      <c r="X51" s="14" t="n"/>
      <c r="Y51" s="14" t="n"/>
      <c r="Z51" s="14" t="n"/>
      <c r="AA51" s="14" t="n"/>
      <c r="AB51" s="14" t="n"/>
      <c r="AC51" s="14" t="n"/>
      <c r="AD51" s="14" t="n"/>
      <c r="AE51" s="14" t="n"/>
      <c r="AF51" s="14" t="n"/>
      <c r="AG51" s="14"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n"/>
      <c r="H52" s="14" t="n"/>
      <c r="I52" s="14" t="n"/>
      <c r="J52" s="14" t="n"/>
      <c r="K52" s="14" t="n"/>
      <c r="L52" s="14" t="n"/>
      <c r="M52" s="14">
        <f>SUM(I52,R52,T52,V52,X52)</f>
        <v/>
      </c>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n"/>
      <c r="H53" s="15" t="inlineStr">
        <is>
          <t>Phantasmal Flames</t>
        </is>
      </c>
      <c r="I53" s="14" t="n"/>
      <c r="J53" s="14" t="n"/>
      <c r="K53" s="14" t="n"/>
      <c r="L53" s="14" t="n"/>
      <c r="M53" s="14">
        <f>SUM(I53,R53,T53,V53,X53)</f>
        <v/>
      </c>
      <c r="N53" s="14" t="inlineStr">
        <is>
          <t>Yes</t>
        </is>
      </c>
      <c r="O53" s="14" t="n"/>
      <c r="P53" s="14" t="n"/>
      <c r="Q53" s="15" t="inlineStr">
        <is>
          <t>Perfect Order</t>
        </is>
      </c>
      <c r="R53" s="14" t="n"/>
      <c r="S53" s="14" t="n"/>
      <c r="T53" s="14" t="n"/>
      <c r="U53" s="14" t="n"/>
      <c r="V53" s="14" t="n"/>
      <c r="W53" s="14" t="n"/>
      <c r="X53" s="14" t="n"/>
      <c r="Y53" s="14" t="n"/>
      <c r="Z53" s="14" t="n"/>
      <c r="AA53" s="14" t="n"/>
      <c r="AB53" s="14" t="n"/>
      <c r="AC53" s="14" t="n"/>
      <c r="AD53" s="14" t="n"/>
      <c r="AE53" s="14" t="n"/>
      <c r="AF53" s="14" t="n"/>
      <c r="AG53" s="14"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n"/>
      <c r="H54" s="15" t="inlineStr">
        <is>
          <t>Ascended Heroes</t>
        </is>
      </c>
      <c r="I54" s="14" t="n"/>
      <c r="J54" s="14" t="n"/>
      <c r="K54" s="14" t="n"/>
      <c r="L54" s="14" t="n"/>
      <c r="M54" s="14">
        <f>SUM(I54,R54,T54,V54,X54)</f>
        <v/>
      </c>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n"/>
      <c r="H55" s="15" t="inlineStr">
        <is>
          <t>Chaos Rising</t>
        </is>
      </c>
      <c r="I55" s="14" t="n"/>
      <c r="J55" s="14" t="n"/>
      <c r="K55" s="14" t="n"/>
      <c r="L55" s="14" t="n"/>
      <c r="M55" s="14">
        <f>SUM(I55,R55,T55,V55,X55)</f>
        <v/>
      </c>
      <c r="N55" s="14" t="inlineStr">
        <is>
          <t>Yes</t>
        </is>
      </c>
      <c r="O55" s="14" t="n"/>
      <c r="P55" s="14" t="n"/>
      <c r="Q55" s="14" t="n"/>
      <c r="R55" s="14" t="n"/>
      <c r="S55" s="14" t="n"/>
      <c r="T55" s="14" t="n"/>
      <c r="U55" s="14" t="n"/>
      <c r="V55" s="14" t="n"/>
      <c r="W55" s="14" t="n"/>
      <c r="X55" s="14" t="n"/>
      <c r="Y55" s="14" t="n"/>
      <c r="Z55" s="14" t="n"/>
      <c r="AA55" s="14" t="n"/>
      <c r="AB55" s="14" t="n"/>
      <c r="AC55" s="14" t="n"/>
      <c r="AD55" s="14" t="n"/>
      <c r="AE55" s="14" t="n"/>
      <c r="AF55" s="14" t="n"/>
      <c r="AG55" s="14"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n"/>
      <c r="H56" s="15" t="inlineStr">
        <is>
          <t>Chaos Rising</t>
        </is>
      </c>
      <c r="I56" s="14" t="n"/>
      <c r="J56" s="14" t="n"/>
      <c r="K56" s="14" t="n"/>
      <c r="L56" s="14" t="n"/>
      <c r="M56" s="14">
        <f>SUM(I56,R56,T56,V56,X56)</f>
        <v/>
      </c>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n"/>
      <c r="H57" s="15" t="inlineStr">
        <is>
          <t>Ascended Heroes</t>
        </is>
      </c>
      <c r="I57" s="14" t="n"/>
      <c r="J57" s="14" t="n"/>
      <c r="K57" s="14" t="n"/>
      <c r="L57" s="14" t="n"/>
      <c r="M57" s="14">
        <f>SUM(I57,R57,T57,V57,X57)</f>
        <v/>
      </c>
      <c r="N57" s="14" t="inlineStr">
        <is>
          <t>Yes</t>
        </is>
      </c>
      <c r="O57" s="14" t="n"/>
      <c r="P57" s="14" t="n"/>
      <c r="Q57" s="14" t="n"/>
      <c r="R57" s="14" t="n"/>
      <c r="S57" s="14" t="n"/>
      <c r="T57" s="14" t="n"/>
      <c r="U57" s="14" t="n"/>
      <c r="V57" s="14" t="n"/>
      <c r="W57" s="14" t="n"/>
      <c r="X57" s="14" t="n"/>
      <c r="Y57" s="14" t="n"/>
      <c r="Z57" s="14" t="n"/>
      <c r="AA57" s="14" t="n"/>
      <c r="AB57" s="14" t="n"/>
      <c r="AC57" s="14" t="n"/>
      <c r="AD57" s="14" t="n"/>
      <c r="AE57" s="14" t="n"/>
      <c r="AF57" s="14" t="n"/>
      <c r="AG57" s="14"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n"/>
      <c r="H58" s="15" t="inlineStr">
        <is>
          <t>Chaos Rising</t>
        </is>
      </c>
      <c r="I58" s="14" t="n"/>
      <c r="J58" s="14" t="n"/>
      <c r="K58" s="14" t="n"/>
      <c r="L58" s="14" t="n"/>
      <c r="M58" s="14">
        <f>SUM(I58,R58,T58,V58,X58)</f>
        <v/>
      </c>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n"/>
      <c r="H59" s="15" t="inlineStr">
        <is>
          <t>Ascended Heroes</t>
        </is>
      </c>
      <c r="I59" s="14" t="n"/>
      <c r="J59" s="14" t="n"/>
      <c r="K59" s="14" t="n"/>
      <c r="L59" s="14" t="n"/>
      <c r="M59" s="14">
        <f>SUM(I59,R59,T59,V59,X59)</f>
        <v/>
      </c>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n"/>
      <c r="H60" s="15" t="inlineStr">
        <is>
          <t>Chaos Rising</t>
        </is>
      </c>
      <c r="I60" s="14" t="n"/>
      <c r="J60" s="14" t="n"/>
      <c r="K60" s="14" t="n"/>
      <c r="L60" s="14" t="n"/>
      <c r="M60" s="14">
        <f>SUM(I60,R60,T60,V60,X60)</f>
        <v/>
      </c>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n"/>
      <c r="H61" s="14" t="n"/>
      <c r="I61" s="14" t="n"/>
      <c r="J61" s="14" t="n"/>
      <c r="K61" s="14" t="n"/>
      <c r="L61" s="14" t="n"/>
      <c r="M61" s="14">
        <f>SUM(I61,R61,T61,V61,X61)</f>
        <v/>
      </c>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n"/>
      <c r="H62" s="15" t="inlineStr">
        <is>
          <t>Chaos Rising</t>
        </is>
      </c>
      <c r="I62" s="14" t="n"/>
      <c r="J62" s="14" t="n"/>
      <c r="K62" s="14" t="n"/>
      <c r="L62" s="14" t="n"/>
      <c r="M62" s="14">
        <f>SUM(I62,R62,T62,V62,X62)</f>
        <v/>
      </c>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n"/>
      <c r="H63" s="15" t="inlineStr">
        <is>
          <t>Ascended Heroes</t>
        </is>
      </c>
      <c r="I63" s="14" t="n"/>
      <c r="J63" s="14" t="n"/>
      <c r="K63" s="14" t="n"/>
      <c r="L63" s="14" t="n"/>
      <c r="M63" s="14">
        <f>SUM(I63,R63,T63,V63,X63)</f>
        <v/>
      </c>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n"/>
      <c r="H64" s="15" t="inlineStr">
        <is>
          <t>Chaos Rising</t>
        </is>
      </c>
      <c r="I64" s="14" t="n"/>
      <c r="J64" s="14" t="n"/>
      <c r="K64" s="14" t="n"/>
      <c r="L64" s="14" t="n"/>
      <c r="M64" s="14">
        <f>SUM(I64,R64,T64,V64,X64)</f>
        <v/>
      </c>
      <c r="N64" s="14" t="inlineStr">
        <is>
          <t>Yes</t>
        </is>
      </c>
      <c r="O64" s="14" t="n"/>
      <c r="P64" s="14" t="n"/>
      <c r="Q64" s="14" t="n"/>
      <c r="R64" s="14" t="n"/>
      <c r="S64" s="14" t="n"/>
      <c r="T64" s="14" t="n"/>
      <c r="U64" s="14" t="n"/>
      <c r="V64" s="14" t="n"/>
      <c r="W64" s="14" t="n"/>
      <c r="X64" s="14" t="n"/>
      <c r="Y64" s="14" t="n"/>
      <c r="Z64" s="14" t="n"/>
      <c r="AA64" s="14" t="n"/>
      <c r="AB64" s="14" t="n"/>
      <c r="AC64" s="14" t="n"/>
      <c r="AD64" s="14" t="n"/>
      <c r="AE64" s="14" t="n"/>
      <c r="AF64" s="14" t="n"/>
      <c r="AG64" s="14"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n"/>
      <c r="H65" s="15" t="inlineStr">
        <is>
          <t>Twilight Masquerade</t>
        </is>
      </c>
      <c r="I65" s="14" t="n"/>
      <c r="J65" s="14" t="n"/>
      <c r="K65" s="14" t="n"/>
      <c r="L65" s="14" t="n"/>
      <c r="M65" s="14">
        <f>SUM(I65,R65,T65,V65,X65)</f>
        <v/>
      </c>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n"/>
      <c r="H66" s="14" t="n"/>
      <c r="I66" s="14" t="n"/>
      <c r="J66" s="14" t="n"/>
      <c r="K66" s="14" t="n"/>
      <c r="L66" s="14" t="n"/>
      <c r="M66" s="14">
        <f>SUM(I66,R66,T66,V66,X66)</f>
        <v/>
      </c>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n"/>
      <c r="H67" s="15" t="inlineStr">
        <is>
          <t>Surging Sparks</t>
        </is>
      </c>
      <c r="I67" s="14" t="n"/>
      <c r="J67" s="14" t="n"/>
      <c r="K67" s="14" t="n"/>
      <c r="L67" s="14" t="n"/>
      <c r="M67" s="14">
        <f>SUM(I67,R67,T67,V67,X67)</f>
        <v/>
      </c>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n"/>
      <c r="H68" s="15" t="inlineStr">
        <is>
          <t>Perfect Order</t>
        </is>
      </c>
      <c r="I68" s="14" t="n"/>
      <c r="J68" s="14" t="n"/>
      <c r="K68" s="14" t="n"/>
      <c r="L68" s="14" t="n"/>
      <c r="M68" s="14">
        <f>SUM(I68,R68,T68,V68,X68)</f>
        <v/>
      </c>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n"/>
      <c r="H69" s="15" t="inlineStr">
        <is>
          <t>Chaos Rising</t>
        </is>
      </c>
      <c r="I69" s="14" t="n"/>
      <c r="J69" s="14" t="n"/>
      <c r="K69" s="14" t="n"/>
      <c r="L69" s="14" t="n"/>
      <c r="M69" s="14">
        <f>SUM(I69,R69,T69,V69,X69)</f>
        <v/>
      </c>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n"/>
      <c r="H70" s="15" t="inlineStr">
        <is>
          <t>Chaos Rising</t>
        </is>
      </c>
      <c r="I70" s="14" t="n"/>
      <c r="J70" s="14" t="n"/>
      <c r="K70" s="14" t="n"/>
      <c r="L70" s="14" t="n"/>
      <c r="M70" s="14">
        <f>SUM(I70,R70,T70,V70,X70)</f>
        <v/>
      </c>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n"/>
      <c r="H71" s="14" t="n"/>
      <c r="I71" s="14" t="n"/>
      <c r="J71" s="14" t="n"/>
      <c r="K71" s="14" t="n"/>
      <c r="L71" s="14" t="n"/>
      <c r="M71" s="14">
        <f>SUM(I71,R71,T71,V71,X71)</f>
        <v/>
      </c>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n"/>
      <c r="H72" s="15" t="inlineStr">
        <is>
          <t>Chaos Rising</t>
        </is>
      </c>
      <c r="I72" s="14" t="n"/>
      <c r="J72" s="14" t="n"/>
      <c r="K72" s="14" t="n"/>
      <c r="L72" s="14" t="n"/>
      <c r="M72" s="14">
        <f>SUM(I72,R72,T72,V72,X72)</f>
        <v/>
      </c>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n"/>
      <c r="H73" s="15" t="inlineStr">
        <is>
          <t>Chaos Rising</t>
        </is>
      </c>
      <c r="I73" s="14" t="n"/>
      <c r="J73" s="14" t="n"/>
      <c r="K73" s="14" t="n"/>
      <c r="L73" s="14" t="n"/>
      <c r="M73" s="14">
        <f>SUM(I73,R73,T73,V73,X73)</f>
        <v/>
      </c>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n"/>
      <c r="H74" s="15" t="inlineStr">
        <is>
          <t>Perfect Order</t>
        </is>
      </c>
      <c r="I74" s="14" t="n"/>
      <c r="J74" s="14" t="n"/>
      <c r="K74" s="14" t="n"/>
      <c r="L74" s="14" t="n"/>
      <c r="M74" s="14">
        <f>SUM(I74,R74,T74,V74,X74)</f>
        <v/>
      </c>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n"/>
      <c r="H75" s="15" t="inlineStr">
        <is>
          <t>Chaos Rising</t>
        </is>
      </c>
      <c r="I75" s="14" t="n"/>
      <c r="J75" s="14" t="n"/>
      <c r="K75" s="14" t="n"/>
      <c r="L75" s="14" t="n"/>
      <c r="M75" s="14">
        <f>SUM(I75,R75,T75,V75,X75)</f>
        <v/>
      </c>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n"/>
      <c r="H76" s="15" t="inlineStr">
        <is>
          <t>Perfect Order</t>
        </is>
      </c>
      <c r="I76" s="14" t="n"/>
      <c r="J76" s="14" t="n"/>
      <c r="K76" s="14" t="n"/>
      <c r="L76" s="14" t="n"/>
      <c r="M76" s="14">
        <f>SUM(I76,R76,T76,V76,X76)</f>
        <v/>
      </c>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n"/>
      <c r="H77" s="15" t="inlineStr">
        <is>
          <t>Chaos Rising</t>
        </is>
      </c>
      <c r="I77" s="14" t="n"/>
      <c r="J77" s="14" t="n"/>
      <c r="K77" s="14" t="n"/>
      <c r="L77" s="14" t="n"/>
      <c r="M77" s="14">
        <f>SUM(I77,R77,T77,V77,X77)</f>
        <v/>
      </c>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n"/>
      <c r="H78" s="15" t="inlineStr">
        <is>
          <t>Perfect Order</t>
        </is>
      </c>
      <c r="I78" s="14" t="n"/>
      <c r="J78" s="14" t="n"/>
      <c r="K78" s="14" t="n"/>
      <c r="L78" s="14" t="n"/>
      <c r="M78" s="14">
        <f>SUM(I78,R78,T78,V78,X78)</f>
        <v/>
      </c>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n"/>
      <c r="H79" s="15" t="inlineStr">
        <is>
          <t>Chaos Rising</t>
        </is>
      </c>
      <c r="I79" s="14" t="n"/>
      <c r="J79" s="14" t="n"/>
      <c r="K79" s="14" t="n"/>
      <c r="L79" s="14" t="n"/>
      <c r="M79" s="14">
        <f>SUM(I79,R79,T79,V79,X79)</f>
        <v/>
      </c>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n"/>
      <c r="H80" s="15" t="inlineStr">
        <is>
          <t>Perfect Order</t>
        </is>
      </c>
      <c r="I80" s="14" t="n"/>
      <c r="J80" s="14" t="n"/>
      <c r="K80" s="14" t="n"/>
      <c r="L80" s="14" t="n"/>
      <c r="M80" s="14">
        <f>SUM(I80,R80,T80,V80,X80)</f>
        <v/>
      </c>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n"/>
      <c r="H81" s="15" t="inlineStr">
        <is>
          <t>Chaos Rising</t>
        </is>
      </c>
      <c r="I81" s="14" t="n"/>
      <c r="J81" s="14" t="n"/>
      <c r="K81" s="14" t="n"/>
      <c r="L81" s="14" t="n"/>
      <c r="M81" s="14">
        <f>SUM(I81,R81,T81,V81,X81)</f>
        <v/>
      </c>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n"/>
      <c r="H82" s="15" t="inlineStr">
        <is>
          <t>Chaos Rising</t>
        </is>
      </c>
      <c r="I82" s="14" t="n"/>
      <c r="J82" s="14" t="n"/>
      <c r="K82" s="14" t="n"/>
      <c r="L82" s="14" t="n"/>
      <c r="M82" s="14">
        <f>SUM(I82,R82,T82,V82,X82)</f>
        <v/>
      </c>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n"/>
      <c r="H83" s="15" t="inlineStr">
        <is>
          <t>Ascended Heroes</t>
        </is>
      </c>
      <c r="I83" s="14" t="n"/>
      <c r="J83" s="14" t="n"/>
      <c r="K83" s="14" t="n"/>
      <c r="L83" s="14" t="n"/>
      <c r="M83" s="14">
        <f>SUM(I83,R83,T83,V83,X83)</f>
        <v/>
      </c>
      <c r="N83" s="14" t="inlineStr">
        <is>
          <t>Yes</t>
        </is>
      </c>
      <c r="O83" s="14" t="n"/>
      <c r="P83" s="14" t="n"/>
      <c r="Q83" s="14" t="n"/>
      <c r="R83" s="14" t="n"/>
      <c r="S83" s="14" t="n"/>
      <c r="T83" s="14" t="n"/>
      <c r="U83" s="14" t="n"/>
      <c r="V83" s="14" t="n"/>
      <c r="W83" s="14" t="n"/>
      <c r="X83" s="14" t="n"/>
      <c r="Y83" s="14" t="n"/>
      <c r="Z83" s="14" t="n"/>
      <c r="AA83" s="14" t="n"/>
      <c r="AB83" s="14" t="n"/>
      <c r="AC83" s="14" t="n"/>
      <c r="AD83" s="14" t="n"/>
      <c r="AE83" s="14" t="n"/>
      <c r="AF83" s="14" t="n"/>
      <c r="AG83" s="14"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n"/>
      <c r="H84" s="15" t="inlineStr">
        <is>
          <t>Ascended Heroes</t>
        </is>
      </c>
      <c r="I84" s="14" t="n"/>
      <c r="J84" s="14" t="n"/>
      <c r="K84" s="14" t="n"/>
      <c r="L84" s="14" t="n"/>
      <c r="M84" s="14">
        <f>SUM(I84,R84,T84,V84,X84)</f>
        <v/>
      </c>
      <c r="N84" s="14" t="inlineStr">
        <is>
          <t>Yes</t>
        </is>
      </c>
      <c r="O84" s="14" t="n"/>
      <c r="P84" s="14" t="n"/>
      <c r="Q84" s="14" t="n"/>
      <c r="R84" s="14" t="n"/>
      <c r="S84" s="14" t="n"/>
      <c r="T84" s="14" t="n"/>
      <c r="U84" s="14" t="n"/>
      <c r="V84" s="14" t="n"/>
      <c r="W84" s="14" t="n"/>
      <c r="X84" s="14" t="n"/>
      <c r="Y84" s="14" t="n"/>
      <c r="Z84" s="14" t="n"/>
      <c r="AA84" s="14" t="n"/>
      <c r="AB84" s="14" t="n"/>
      <c r="AC84" s="14" t="n"/>
      <c r="AD84" s="14" t="n"/>
      <c r="AE84" s="14" t="n"/>
      <c r="AF84" s="14" t="n"/>
      <c r="AG84" s="14"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n"/>
      <c r="H85" s="15" t="inlineStr">
        <is>
          <t>Ascended Heroes</t>
        </is>
      </c>
      <c r="I85" s="14" t="n"/>
      <c r="J85" s="14" t="n"/>
      <c r="K85" s="14" t="n"/>
      <c r="L85" s="14" t="n"/>
      <c r="M85" s="14">
        <f>SUM(I85,R85,T85,V85,X85)</f>
        <v/>
      </c>
      <c r="N85" s="14" t="inlineStr">
        <is>
          <t>Yes</t>
        </is>
      </c>
      <c r="O85" s="14" t="n"/>
      <c r="P85" s="14" t="n"/>
      <c r="Q85" s="14" t="n"/>
      <c r="R85" s="14" t="n"/>
      <c r="S85" s="14" t="n"/>
      <c r="T85" s="14" t="n"/>
      <c r="U85" s="14" t="n"/>
      <c r="V85" s="14" t="n"/>
      <c r="W85" s="14" t="n"/>
      <c r="X85" s="14" t="n"/>
      <c r="Y85" s="14" t="n"/>
      <c r="Z85" s="14" t="n"/>
      <c r="AA85" s="14" t="n"/>
      <c r="AB85" s="14" t="n"/>
      <c r="AC85" s="14" t="n"/>
      <c r="AD85" s="14" t="n"/>
      <c r="AE85" s="14" t="n"/>
      <c r="AF85" s="14" t="n"/>
      <c r="AG85" s="14"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n"/>
      <c r="H86" s="15" t="inlineStr">
        <is>
          <t>Ascended Heroes</t>
        </is>
      </c>
      <c r="I86" s="14" t="n"/>
      <c r="J86" s="14" t="n"/>
      <c r="K86" s="14" t="n"/>
      <c r="L86" s="14" t="n"/>
      <c r="M86" s="14">
        <f>SUM(I86,R86,T86,V86,X86)</f>
        <v/>
      </c>
      <c r="N86" s="14" t="inlineStr">
        <is>
          <t>Yes</t>
        </is>
      </c>
      <c r="O86" s="14" t="n"/>
      <c r="P86" s="14" t="n"/>
      <c r="Q86" s="14" t="n"/>
      <c r="R86" s="14" t="n"/>
      <c r="S86" s="14" t="n"/>
      <c r="T86" s="14" t="n"/>
      <c r="U86" s="14" t="n"/>
      <c r="V86" s="14" t="n"/>
      <c r="W86" s="14" t="n"/>
      <c r="X86" s="14" t="n"/>
      <c r="Y86" s="14" t="n"/>
      <c r="Z86" s="14" t="n"/>
      <c r="AA86" s="14" t="n"/>
      <c r="AB86" s="14" t="n"/>
      <c r="AC86" s="14" t="n"/>
      <c r="AD86" s="14" t="n"/>
      <c r="AE86" s="14" t="n"/>
      <c r="AF86" s="14" t="n"/>
      <c r="AG86" s="14"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n"/>
      <c r="H87" s="15" t="inlineStr">
        <is>
          <t>Chaos Rising</t>
        </is>
      </c>
      <c r="I87" s="14" t="n"/>
      <c r="J87" s="14" t="n"/>
      <c r="K87" s="14" t="n"/>
      <c r="L87" s="14" t="n"/>
      <c r="M87" s="14">
        <f>SUM(I87,R87,T87,V87,X87)</f>
        <v/>
      </c>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n"/>
      <c r="H88" s="15" t="inlineStr">
        <is>
          <t>Chaos Rising</t>
        </is>
      </c>
      <c r="I88" s="14" t="n"/>
      <c r="J88" s="14" t="n"/>
      <c r="K88" s="14" t="n"/>
      <c r="L88" s="14" t="n"/>
      <c r="M88" s="14">
        <f>SUM(I88,R88,T88,V88,X88)</f>
        <v/>
      </c>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n"/>
      <c r="H89" s="15" t="inlineStr">
        <is>
          <t>Ascended Heroes</t>
        </is>
      </c>
      <c r="I89" s="14" t="n"/>
      <c r="J89" s="14" t="n"/>
      <c r="K89" s="14" t="n"/>
      <c r="L89" s="14" t="n"/>
      <c r="M89" s="14">
        <f>SUM(I89,R89,T89,V89,X89)</f>
        <v/>
      </c>
      <c r="N89" s="14" t="inlineStr">
        <is>
          <t>Yes</t>
        </is>
      </c>
      <c r="O89" s="14" t="n"/>
      <c r="P89" s="14" t="n"/>
      <c r="Q89" s="14" t="n"/>
      <c r="R89" s="14" t="n"/>
      <c r="S89" s="14" t="n"/>
      <c r="T89" s="14" t="n"/>
      <c r="U89" s="14" t="n"/>
      <c r="V89" s="14" t="n"/>
      <c r="W89" s="14" t="n"/>
      <c r="X89" s="14" t="n"/>
      <c r="Y89" s="14" t="n"/>
      <c r="Z89" s="14" t="n"/>
      <c r="AA89" s="14" t="n"/>
      <c r="AB89" s="14" t="n"/>
      <c r="AC89" s="14" t="n"/>
      <c r="AD89" s="14" t="n"/>
      <c r="AE89" s="14" t="n"/>
      <c r="AF89" s="14" t="n"/>
      <c r="AG89" s="14"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n"/>
      <c r="H90" s="15" t="inlineStr">
        <is>
          <t>Ascended Heroes</t>
        </is>
      </c>
      <c r="I90" s="14" t="n"/>
      <c r="J90" s="14" t="n"/>
      <c r="K90" s="14" t="n"/>
      <c r="L90" s="14" t="n"/>
      <c r="M90" s="14">
        <f>SUM(I90,R90,T90,V90,X90)</f>
        <v/>
      </c>
      <c r="N90" s="14" t="inlineStr">
        <is>
          <t>Yes</t>
        </is>
      </c>
      <c r="O90" s="14" t="n"/>
      <c r="P90" s="14" t="n"/>
      <c r="Q90" s="14" t="n"/>
      <c r="R90" s="14" t="n"/>
      <c r="S90" s="14" t="n"/>
      <c r="T90" s="14" t="n"/>
      <c r="U90" s="14" t="n"/>
      <c r="V90" s="14" t="n"/>
      <c r="W90" s="14" t="n"/>
      <c r="X90" s="14" t="n"/>
      <c r="Y90" s="14" t="n"/>
      <c r="Z90" s="14" t="n"/>
      <c r="AA90" s="14" t="n"/>
      <c r="AB90" s="14" t="n"/>
      <c r="AC90" s="14" t="n"/>
      <c r="AD90" s="14" t="n"/>
      <c r="AE90" s="14" t="n"/>
      <c r="AF90" s="14" t="n"/>
      <c r="AG90" s="14"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n"/>
      <c r="H91" s="15" t="inlineStr">
        <is>
          <t>Ascended Heroes</t>
        </is>
      </c>
      <c r="I91" s="14" t="n"/>
      <c r="J91" s="14" t="n"/>
      <c r="K91" s="14" t="n"/>
      <c r="L91" s="14" t="n"/>
      <c r="M91" s="14">
        <f>SUM(I91,R91,T91,V91,X91)</f>
        <v/>
      </c>
      <c r="N91" s="14" t="inlineStr">
        <is>
          <t>Yes</t>
        </is>
      </c>
      <c r="O91" s="14" t="n"/>
      <c r="P91" s="14" t="n"/>
      <c r="Q91" s="14" t="n"/>
      <c r="R91" s="14" t="n"/>
      <c r="S91" s="14" t="n"/>
      <c r="T91" s="14" t="n"/>
      <c r="U91" s="14" t="n"/>
      <c r="V91" s="14" t="n"/>
      <c r="W91" s="14" t="n"/>
      <c r="X91" s="14" t="n"/>
      <c r="Y91" s="14" t="n"/>
      <c r="Z91" s="14" t="n"/>
      <c r="AA91" s="14" t="n"/>
      <c r="AB91" s="14" t="n"/>
      <c r="AC91" s="14" t="n"/>
      <c r="AD91" s="14" t="n"/>
      <c r="AE91" s="14" t="n"/>
      <c r="AF91" s="14" t="n"/>
      <c r="AG91" s="14"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n"/>
      <c r="H92" s="15" t="inlineStr">
        <is>
          <t>Ascended Heroes</t>
        </is>
      </c>
      <c r="I92" s="14" t="n"/>
      <c r="J92" s="14" t="n"/>
      <c r="K92" s="14" t="n"/>
      <c r="L92" s="14" t="n"/>
      <c r="M92" s="14">
        <f>SUM(I92,R92,T92,V92,X92)</f>
        <v/>
      </c>
      <c r="N92" s="14" t="inlineStr">
        <is>
          <t>Yes</t>
        </is>
      </c>
      <c r="O92" s="14" t="n"/>
      <c r="P92" s="14" t="n"/>
      <c r="Q92" s="14" t="n"/>
      <c r="R92" s="14" t="n"/>
      <c r="S92" s="14" t="n"/>
      <c r="T92" s="14" t="n"/>
      <c r="U92" s="14" t="n"/>
      <c r="V92" s="14" t="n"/>
      <c r="W92" s="14" t="n"/>
      <c r="X92" s="14" t="n"/>
      <c r="Y92" s="14" t="n"/>
      <c r="Z92" s="14" t="n"/>
      <c r="AA92" s="14" t="n"/>
      <c r="AB92" s="14" t="n"/>
      <c r="AC92" s="14" t="n"/>
      <c r="AD92" s="14" t="n"/>
      <c r="AE92" s="14" t="n"/>
      <c r="AF92" s="14" t="n"/>
      <c r="AG92" s="14"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n"/>
      <c r="H93" s="15" t="inlineStr">
        <is>
          <t>Chaos Rising</t>
        </is>
      </c>
      <c r="I93" s="14" t="n"/>
      <c r="J93" s="14" t="n"/>
      <c r="K93" s="14" t="n"/>
      <c r="L93" s="14" t="n"/>
      <c r="M93" s="14">
        <f>SUM(I93,R93,T93,V93,X93)</f>
        <v/>
      </c>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n"/>
      <c r="H94" s="15" t="inlineStr">
        <is>
          <t>Ascended Heroes</t>
        </is>
      </c>
      <c r="I94" s="14" t="n"/>
      <c r="J94" s="14" t="n"/>
      <c r="K94" s="14" t="n"/>
      <c r="L94" s="14" t="n"/>
      <c r="M94" s="14">
        <f>SUM(I94,R94,T94,V94,X94)</f>
        <v/>
      </c>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n"/>
      <c r="H95" s="15" t="inlineStr">
        <is>
          <t>Chaos Rising</t>
        </is>
      </c>
      <c r="I95" s="14" t="n"/>
      <c r="J95" s="14" t="n"/>
      <c r="K95" s="14" t="n"/>
      <c r="L95" s="14" t="n"/>
      <c r="M95" s="14">
        <f>SUM(I95,R95,T95,V95,X95)</f>
        <v/>
      </c>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n"/>
      <c r="H96" s="15" t="inlineStr">
        <is>
          <t>Ascended Heroes</t>
        </is>
      </c>
      <c r="I96" s="14" t="n"/>
      <c r="J96" s="14" t="n"/>
      <c r="K96" s="14" t="n"/>
      <c r="L96" s="14" t="n"/>
      <c r="M96" s="14">
        <f>SUM(I96,R96,T96,V96,X96)</f>
        <v/>
      </c>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n"/>
      <c r="H97" s="15" t="inlineStr">
        <is>
          <t>Chaos Rising</t>
        </is>
      </c>
      <c r="I97" s="14" t="n"/>
      <c r="J97" s="14" t="n"/>
      <c r="K97" s="14" t="n"/>
      <c r="L97" s="14" t="n"/>
      <c r="M97" s="14">
        <f>SUM(I97,R97,T97,V97,X97)</f>
        <v/>
      </c>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n"/>
      <c r="H98" s="15" t="inlineStr">
        <is>
          <t>Ascended Heroes</t>
        </is>
      </c>
      <c r="I98" s="14" t="n"/>
      <c r="J98" s="14" t="n"/>
      <c r="K98" s="14" t="n"/>
      <c r="L98" s="14" t="n"/>
      <c r="M98" s="14">
        <f>SUM(I98,R98,T98,V98,X98)</f>
        <v/>
      </c>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n"/>
      <c r="H99" s="15" t="inlineStr">
        <is>
          <t>Chaos Rising</t>
        </is>
      </c>
      <c r="I99" s="14" t="n"/>
      <c r="J99" s="14" t="n"/>
      <c r="K99" s="14" t="n"/>
      <c r="L99" s="14" t="n"/>
      <c r="M99" s="14">
        <f>SUM(I99,R99,T99,V99,X99)</f>
        <v/>
      </c>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n"/>
      <c r="H100" s="15" t="inlineStr">
        <is>
          <t>Ascended Heroes</t>
        </is>
      </c>
      <c r="I100" s="14" t="n"/>
      <c r="J100" s="14" t="n"/>
      <c r="K100" s="14" t="n"/>
      <c r="L100" s="14" t="n"/>
      <c r="M100" s="14">
        <f>SUM(I100,R100,T100,V100,X100)</f>
        <v/>
      </c>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n"/>
      <c r="H101" s="15" t="inlineStr">
        <is>
          <t>Chaos Rising</t>
        </is>
      </c>
      <c r="I101" s="14" t="n"/>
      <c r="J101" s="14" t="n"/>
      <c r="K101" s="14" t="n"/>
      <c r="L101" s="14" t="n"/>
      <c r="M101" s="14">
        <f>SUM(I101,R101,T101,V101,X101)</f>
        <v/>
      </c>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n"/>
      <c r="H102" s="15" t="inlineStr">
        <is>
          <t>Chaos Rising</t>
        </is>
      </c>
      <c r="I102" s="14" t="n"/>
      <c r="J102" s="14" t="n"/>
      <c r="K102" s="14" t="n"/>
      <c r="L102" s="14" t="n"/>
      <c r="M102" s="14">
        <f>SUM(I102,R102,T102,V102,X102)</f>
        <v/>
      </c>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n"/>
      <c r="H103" s="15" t="inlineStr">
        <is>
          <t>Phantasmal Flames</t>
        </is>
      </c>
      <c r="I103" s="14" t="n"/>
      <c r="J103" s="14" t="n"/>
      <c r="K103" s="14" t="n"/>
      <c r="L103" s="14" t="n"/>
      <c r="M103" s="14">
        <f>SUM(I103,R103,T103,V103,X103)</f>
        <v/>
      </c>
      <c r="N103" s="14" t="inlineStr">
        <is>
          <t>Yes</t>
        </is>
      </c>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n"/>
      <c r="H104" s="15" t="inlineStr">
        <is>
          <t>Abyss Eye (JP)</t>
        </is>
      </c>
      <c r="I104" s="14" t="n"/>
      <c r="J104" s="14" t="n"/>
      <c r="K104" s="14" t="n"/>
      <c r="L104" s="14" t="n"/>
      <c r="M104" s="14">
        <f>SUM(I104,R104,T104,V104,X104)</f>
        <v/>
      </c>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n"/>
      <c r="H105" s="15" t="inlineStr">
        <is>
          <t>Phantasmal Flames</t>
        </is>
      </c>
      <c r="I105" s="14" t="n"/>
      <c r="J105" s="14" t="n"/>
      <c r="K105" s="14" t="n"/>
      <c r="L105" s="14" t="n"/>
      <c r="M105" s="14">
        <f>SUM(I105,R105,T105,V105,X105)</f>
        <v/>
      </c>
      <c r="N105" s="14" t="inlineStr">
        <is>
          <t>Yes</t>
        </is>
      </c>
      <c r="O105" s="14" t="n"/>
      <c r="P105" s="14" t="n"/>
      <c r="Q105" s="15" t="inlineStr">
        <is>
          <t>Perfect Order</t>
        </is>
      </c>
      <c r="R105" s="14" t="n"/>
      <c r="S105" s="14" t="n"/>
      <c r="T105" s="14" t="n"/>
      <c r="U105" s="14" t="n"/>
      <c r="V105" s="14" t="n"/>
      <c r="W105" s="14" t="n"/>
      <c r="X105" s="14" t="n"/>
      <c r="Y105" s="14" t="n"/>
      <c r="Z105" s="14" t="n"/>
      <c r="AA105" s="14" t="n"/>
      <c r="AB105" s="14" t="n"/>
      <c r="AC105" s="14" t="n"/>
      <c r="AD105" s="14" t="n"/>
      <c r="AE105" s="14" t="n"/>
      <c r="AF105" s="14" t="n"/>
      <c r="AG105" s="14"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n"/>
      <c r="H106" s="15" t="inlineStr">
        <is>
          <t>Chaos Rising</t>
        </is>
      </c>
      <c r="I106" s="14" t="n"/>
      <c r="J106" s="14" t="n"/>
      <c r="K106" s="14" t="n"/>
      <c r="L106" s="14" t="n"/>
      <c r="M106" s="14">
        <f>SUM(I106,R106,T106,V106,X106)</f>
        <v/>
      </c>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n"/>
      <c r="H107" s="15" t="inlineStr">
        <is>
          <t>Phantasmal Flames</t>
        </is>
      </c>
      <c r="I107" s="14" t="n"/>
      <c r="J107" s="14" t="n"/>
      <c r="K107" s="14" t="n"/>
      <c r="L107" s="14" t="n"/>
      <c r="M107" s="14">
        <f>SUM(I107,R107,T107,V107,X107)</f>
        <v/>
      </c>
      <c r="N107" s="14" t="n"/>
      <c r="O107" s="14" t="n"/>
      <c r="P107" s="14" t="n"/>
      <c r="Q107" s="15" t="inlineStr">
        <is>
          <t>Perfect Order</t>
        </is>
      </c>
      <c r="R107" s="14" t="n"/>
      <c r="S107" s="14" t="n"/>
      <c r="T107" s="14" t="n"/>
      <c r="U107" s="14" t="n"/>
      <c r="V107" s="14" t="n"/>
      <c r="W107" s="14" t="n"/>
      <c r="X107" s="14" t="n"/>
      <c r="Y107" s="14" t="n"/>
      <c r="Z107" s="14" t="n"/>
      <c r="AA107" s="14" t="n"/>
      <c r="AB107" s="14" t="n"/>
      <c r="AC107" s="14" t="n"/>
      <c r="AD107" s="14" t="n"/>
      <c r="AE107" s="14" t="n"/>
      <c r="AF107" s="14" t="n"/>
      <c r="AG107" s="14"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n"/>
      <c r="H108" s="14" t="n"/>
      <c r="I108" s="14" t="n"/>
      <c r="J108" s="14" t="n"/>
      <c r="K108" s="14" t="n"/>
      <c r="L108" s="14" t="n"/>
      <c r="M108" s="14">
        <f>SUM(I108,R108,T108,V108,X108)</f>
        <v/>
      </c>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n"/>
      <c r="H109" s="15" t="inlineStr">
        <is>
          <t>Abyss Eye (JP)</t>
        </is>
      </c>
      <c r="I109" s="14" t="n"/>
      <c r="J109" s="14" t="n"/>
      <c r="K109" s="14" t="n"/>
      <c r="L109" s="14" t="n"/>
      <c r="M109" s="14">
        <f>SUM(I109,R109,T109,V109,X109)</f>
        <v/>
      </c>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n"/>
      <c r="H110" s="15" t="inlineStr">
        <is>
          <t>Abyss Eye (JP)</t>
        </is>
      </c>
      <c r="I110" s="14" t="n"/>
      <c r="J110" s="14" t="n"/>
      <c r="K110" s="14" t="n"/>
      <c r="L110" s="14" t="n"/>
      <c r="M110" s="14">
        <f>SUM(I110,R110,T110,V110,X110)</f>
        <v/>
      </c>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n"/>
      <c r="H111" s="15" t="inlineStr">
        <is>
          <t>Chaos Rising</t>
        </is>
      </c>
      <c r="I111" s="14" t="n"/>
      <c r="J111" s="14" t="n"/>
      <c r="K111" s="14" t="n"/>
      <c r="L111" s="14" t="n"/>
      <c r="M111" s="14">
        <f>SUM(I111,R111,T111,V111,X111)</f>
        <v/>
      </c>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n"/>
      <c r="H112" s="15" t="inlineStr">
        <is>
          <t>Chaos Rising</t>
        </is>
      </c>
      <c r="I112" s="14" t="n"/>
      <c r="J112" s="14" t="n"/>
      <c r="K112" s="14" t="n"/>
      <c r="L112" s="14" t="n"/>
      <c r="M112" s="14">
        <f>SUM(I112,R112,T112,V112,X112)</f>
        <v/>
      </c>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n"/>
      <c r="H113" s="14" t="n"/>
      <c r="I113" s="14" t="n"/>
      <c r="J113" s="14" t="n"/>
      <c r="K113" s="14" t="n"/>
      <c r="L113" s="14" t="n"/>
      <c r="M113" s="14">
        <f>SUM(I113,R113,T113,V113,X113)</f>
        <v/>
      </c>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n"/>
      <c r="H114" s="14" t="n"/>
      <c r="I114" s="14" t="n"/>
      <c r="J114" s="14" t="n"/>
      <c r="K114" s="14" t="n"/>
      <c r="L114" s="14" t="n"/>
      <c r="M114" s="14">
        <f>SUM(I114,R114,T114,V114,X114)</f>
        <v/>
      </c>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n"/>
      <c r="H115" s="15" t="inlineStr">
        <is>
          <t>Abyss Eye (JP)</t>
        </is>
      </c>
      <c r="I115" s="14" t="n"/>
      <c r="J115" s="14" t="n"/>
      <c r="K115" s="14" t="n"/>
      <c r="L115" s="14" t="n"/>
      <c r="M115" s="14">
        <f>SUM(I115,R115,T115,V115,X115)</f>
        <v/>
      </c>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n"/>
      <c r="H116" s="15" t="inlineStr">
        <is>
          <t>Abyss Eye (JP)</t>
        </is>
      </c>
      <c r="I116" s="14" t="n"/>
      <c r="J116" s="14" t="n"/>
      <c r="K116" s="14" t="n"/>
      <c r="L116" s="14" t="n"/>
      <c r="M116" s="14">
        <f>SUM(I116,R116,T116,V116,X116)</f>
        <v/>
      </c>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n"/>
      <c r="H117" s="15" t="inlineStr">
        <is>
          <t>Chaos Rising</t>
        </is>
      </c>
      <c r="I117" s="14" t="n"/>
      <c r="J117" s="14" t="n"/>
      <c r="K117" s="14" t="n"/>
      <c r="L117" s="14" t="n"/>
      <c r="M117" s="14">
        <f>SUM(I117,R117,T117,V117,X117)</f>
        <v/>
      </c>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n"/>
      <c r="H118" s="15" t="inlineStr">
        <is>
          <t>Chaos Rising</t>
        </is>
      </c>
      <c r="I118" s="14" t="n"/>
      <c r="J118" s="14" t="n"/>
      <c r="K118" s="14" t="n"/>
      <c r="L118" s="14" t="n"/>
      <c r="M118" s="14">
        <f>SUM(I118,R118,T118,V118,X118)</f>
        <v/>
      </c>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n"/>
      <c r="H119" s="14" t="n"/>
      <c r="I119" s="14" t="n"/>
      <c r="J119" s="14" t="n"/>
      <c r="K119" s="14" t="n"/>
      <c r="L119" s="14" t="n"/>
      <c r="M119" s="14">
        <f>SUM(I119,R119,T119,V119,X119)</f>
        <v/>
      </c>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n"/>
      <c r="H120" s="15" t="inlineStr">
        <is>
          <t>Chaos Rising</t>
        </is>
      </c>
      <c r="I120" s="14" t="n"/>
      <c r="J120" s="14" t="n"/>
      <c r="K120" s="14" t="n"/>
      <c r="L120" s="14" t="n"/>
      <c r="M120" s="14">
        <f>SUM(I120,R120,T120,V120,X120)</f>
        <v/>
      </c>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n"/>
      <c r="H121" s="14" t="n"/>
      <c r="I121" s="14" t="n"/>
      <c r="J121" s="14" t="n"/>
      <c r="K121" s="14" t="n"/>
      <c r="L121" s="14" t="n"/>
      <c r="M121" s="14">
        <f>SUM(I121,R121,T121,V121,X121)</f>
        <v/>
      </c>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n"/>
      <c r="H122" s="15" t="inlineStr">
        <is>
          <t>Perfect Order</t>
        </is>
      </c>
      <c r="I122" s="14" t="n"/>
      <c r="J122" s="14" t="n"/>
      <c r="K122" s="14" t="n"/>
      <c r="L122" s="14" t="n"/>
      <c r="M122" s="14">
        <f>SUM(I122,R122,T122,V122,X122)</f>
        <v/>
      </c>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n"/>
      <c r="H123" s="15" t="inlineStr">
        <is>
          <t>Perfect Order</t>
        </is>
      </c>
      <c r="I123" s="14" t="n"/>
      <c r="J123" s="14" t="n"/>
      <c r="K123" s="14" t="n"/>
      <c r="L123" s="14" t="n"/>
      <c r="M123" s="14">
        <f>SUM(I123,R123,T123,V123,X123)</f>
        <v/>
      </c>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n"/>
      <c r="H124" s="15" t="inlineStr">
        <is>
          <t>Chaos Rising</t>
        </is>
      </c>
      <c r="I124" s="14" t="n"/>
      <c r="J124" s="14" t="n"/>
      <c r="K124" s="14" t="n"/>
      <c r="L124" s="14" t="n"/>
      <c r="M124" s="14">
        <f>SUM(I124,R124,T124,V124,X124)</f>
        <v/>
      </c>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n"/>
      <c r="H125" s="15" t="inlineStr">
        <is>
          <t>Perfect Order</t>
        </is>
      </c>
      <c r="I125" s="14" t="n"/>
      <c r="J125" s="14" t="n"/>
      <c r="K125" s="14" t="n"/>
      <c r="L125" s="14" t="n"/>
      <c r="M125" s="14">
        <f>SUM(I125,R125,T125,V125,X125)</f>
        <v/>
      </c>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n"/>
      <c r="H126" s="15" t="inlineStr">
        <is>
          <t>Ascended Heroes</t>
        </is>
      </c>
      <c r="I126" s="14" t="n"/>
      <c r="J126" s="14" t="n"/>
      <c r="K126" s="14" t="n"/>
      <c r="L126" s="14" t="n"/>
      <c r="M126" s="14">
        <f>SUM(I126,R126,T126,V126,X126)</f>
        <v/>
      </c>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n"/>
      <c r="H127" s="15" t="inlineStr">
        <is>
          <t>Chaos Rising</t>
        </is>
      </c>
      <c r="I127" s="14" t="n"/>
      <c r="J127" s="14" t="n"/>
      <c r="K127" s="14" t="n"/>
      <c r="L127" s="14" t="n"/>
      <c r="M127" s="14">
        <f>SUM(I127,R127,T127,V127,X127)</f>
        <v/>
      </c>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n"/>
      <c r="H128" s="15" t="inlineStr">
        <is>
          <t>Chaos Rising</t>
        </is>
      </c>
      <c r="I128" s="14" t="n"/>
      <c r="J128" s="14" t="n"/>
      <c r="K128" s="14" t="n"/>
      <c r="L128" s="14" t="n"/>
      <c r="M128" s="14">
        <f>SUM(I128,R128,T128,V128,X128)</f>
        <v/>
      </c>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n"/>
      <c r="H129" s="15" t="inlineStr">
        <is>
          <t>Perfect Order</t>
        </is>
      </c>
      <c r="I129" s="14" t="n"/>
      <c r="J129" s="14" t="n"/>
      <c r="K129" s="14" t="n"/>
      <c r="L129" s="14" t="n"/>
      <c r="M129" s="14">
        <f>SUM(I129,R129,T129,V129,X129)</f>
        <v/>
      </c>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n"/>
      <c r="H130" s="15" t="inlineStr">
        <is>
          <t>Perfect Order</t>
        </is>
      </c>
      <c r="I130" s="14" t="n"/>
      <c r="J130" s="14" t="n"/>
      <c r="K130" s="14" t="n"/>
      <c r="L130" s="14" t="n"/>
      <c r="M130" s="14">
        <f>SUM(I130,R130,T130,V130,X130)</f>
        <v/>
      </c>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n"/>
      <c r="H131" s="15" t="inlineStr">
        <is>
          <t>Ascended Heroes</t>
        </is>
      </c>
      <c r="I131" s="14" t="n"/>
      <c r="J131" s="14" t="n"/>
      <c r="K131" s="14" t="n"/>
      <c r="L131" s="14" t="n"/>
      <c r="M131" s="14">
        <f>SUM(I131,R131,T131,V131,X131)</f>
        <v/>
      </c>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n"/>
      <c r="H132" s="15" t="inlineStr">
        <is>
          <t>Ascended Heroes</t>
        </is>
      </c>
      <c r="I132" s="14" t="n"/>
      <c r="J132" s="14" t="n"/>
      <c r="K132" s="14" t="n"/>
      <c r="L132" s="14" t="n"/>
      <c r="M132" s="14">
        <f>SUM(I132,R132,T132,V132,X132)</f>
        <v/>
      </c>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n"/>
      <c r="H133" s="15" t="inlineStr">
        <is>
          <t>Chaos Rising</t>
        </is>
      </c>
      <c r="I133" s="14" t="n"/>
      <c r="J133" s="14" t="n"/>
      <c r="K133" s="14" t="n"/>
      <c r="L133" s="14" t="n"/>
      <c r="M133" s="14">
        <f>SUM(I133,R133,T133,V133,X133)</f>
        <v/>
      </c>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n"/>
      <c r="H134" s="15" t="inlineStr">
        <is>
          <t>Perfect Order</t>
        </is>
      </c>
      <c r="I134" s="14" t="n"/>
      <c r="J134" s="14" t="n"/>
      <c r="K134" s="14" t="n"/>
      <c r="L134" s="14" t="n"/>
      <c r="M134" s="14">
        <f>SUM(I134,R134,T134,V134,X134)</f>
        <v/>
      </c>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n"/>
      <c r="H135" s="15" t="inlineStr">
        <is>
          <t>Chaos Rising</t>
        </is>
      </c>
      <c r="I135" s="14" t="n"/>
      <c r="J135" s="14" t="n"/>
      <c r="K135" s="14" t="n"/>
      <c r="L135" s="14" t="n"/>
      <c r="M135" s="14">
        <f>SUM(I135,R135,T135,V135,X135)</f>
        <v/>
      </c>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n"/>
      <c r="H136" s="15" t="inlineStr">
        <is>
          <t>Chaos Rising</t>
        </is>
      </c>
      <c r="I136" s="14" t="n"/>
      <c r="J136" s="14" t="n"/>
      <c r="K136" s="14" t="n"/>
      <c r="L136" s="14" t="n"/>
      <c r="M136" s="14">
        <f>SUM(I136,R136,T136,V136,X136)</f>
        <v/>
      </c>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n"/>
      <c r="H137" s="15" t="inlineStr">
        <is>
          <t>Ascended Heroes</t>
        </is>
      </c>
      <c r="I137" s="14" t="n"/>
      <c r="J137" s="14" t="n"/>
      <c r="K137" s="14" t="n"/>
      <c r="L137" s="14" t="n"/>
      <c r="M137" s="14">
        <f>SUM(I137,R137,T137,V137,X137)</f>
        <v/>
      </c>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n"/>
      <c r="H138" s="15" t="inlineStr">
        <is>
          <t>Ascended Heroes</t>
        </is>
      </c>
      <c r="I138" s="14" t="n"/>
      <c r="J138" s="14" t="n"/>
      <c r="K138" s="14" t="n"/>
      <c r="L138" s="14" t="n"/>
      <c r="M138" s="14">
        <f>SUM(I138,R138,T138,V138,X138)</f>
        <v/>
      </c>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n"/>
      <c r="H139" s="15" t="inlineStr">
        <is>
          <t>Prismatic Evolutions</t>
        </is>
      </c>
      <c r="I139" s="14" t="n"/>
      <c r="J139" s="14" t="n"/>
      <c r="K139" s="14" t="n"/>
      <c r="L139" s="14" t="n"/>
      <c r="M139" s="14">
        <f>SUM(I139,R139,T139,V139,X139)</f>
        <v/>
      </c>
      <c r="N139" s="14" t="inlineStr">
        <is>
          <t>Yes</t>
        </is>
      </c>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n"/>
      <c r="H140" s="15" t="inlineStr">
        <is>
          <t>Ascended Heroes</t>
        </is>
      </c>
      <c r="I140" s="14" t="n"/>
      <c r="J140" s="14" t="n"/>
      <c r="K140" s="14" t="n"/>
      <c r="L140" s="14" t="n"/>
      <c r="M140" s="14">
        <f>SUM(I140,R140,T140,V140,X140)</f>
        <v/>
      </c>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n"/>
      <c r="H141" s="15" t="inlineStr">
        <is>
          <t>Prismatic Evolutions</t>
        </is>
      </c>
      <c r="I141" s="14" t="n"/>
      <c r="J141" s="14" t="n"/>
      <c r="K141" s="14" t="n"/>
      <c r="L141" s="14" t="n"/>
      <c r="M141" s="14">
        <f>SUM(I141,R141,T141,V141,X141)</f>
        <v/>
      </c>
      <c r="N141" s="14" t="inlineStr">
        <is>
          <t>Yes</t>
        </is>
      </c>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n"/>
      <c r="H142" s="15" t="inlineStr">
        <is>
          <t>Destined Rivals</t>
        </is>
      </c>
      <c r="I142" s="14" t="n"/>
      <c r="J142" s="14" t="n"/>
      <c r="K142" s="14" t="n"/>
      <c r="L142" s="14" t="n"/>
      <c r="M142" s="14">
        <f>SUM(I142,R142,T142,V142,X142)</f>
        <v/>
      </c>
      <c r="N142" s="14" t="inlineStr">
        <is>
          <t>Yes</t>
        </is>
      </c>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n"/>
      <c r="H143" s="15" t="inlineStr">
        <is>
          <t>Prismatic Evolutions</t>
        </is>
      </c>
      <c r="I143" s="14" t="n"/>
      <c r="J143" s="14" t="n"/>
      <c r="K143" s="14" t="n"/>
      <c r="L143" s="14" t="n"/>
      <c r="M143" s="14">
        <f>SUM(I143,R143,T143,V143,X143)</f>
        <v/>
      </c>
      <c r="N143" s="14" t="inlineStr">
        <is>
          <t>Yes</t>
        </is>
      </c>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n"/>
      <c r="H144" s="15" t="inlineStr">
        <is>
          <t>Prismatic Evolutions</t>
        </is>
      </c>
      <c r="I144" s="14" t="n"/>
      <c r="J144" s="14" t="n"/>
      <c r="K144" s="14" t="n"/>
      <c r="L144" s="14" t="n"/>
      <c r="M144" s="14">
        <f>SUM(I144,R144,T144,V144,X144)</f>
        <v/>
      </c>
      <c r="N144" s="14" t="inlineStr">
        <is>
          <t>Yes</t>
        </is>
      </c>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n"/>
      <c r="H145" s="15" t="inlineStr">
        <is>
          <t>Perfect Order</t>
        </is>
      </c>
      <c r="I145" s="14" t="n"/>
      <c r="J145" s="14" t="n"/>
      <c r="K145" s="14" t="n"/>
      <c r="L145" s="14" t="n"/>
      <c r="M145" s="14">
        <f>SUM(I145,R145,T145,V145,X145)</f>
        <v/>
      </c>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n"/>
      <c r="H146" s="15" t="inlineStr">
        <is>
          <t>Journey Together</t>
        </is>
      </c>
      <c r="I146" s="14" t="n"/>
      <c r="J146" s="14" t="n"/>
      <c r="K146" s="14" t="n"/>
      <c r="L146" s="14" t="n"/>
      <c r="M146" s="14">
        <f>SUM(I146,R146,T146,V146,X146)</f>
        <v/>
      </c>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n"/>
      <c r="H147" s="15" t="inlineStr">
        <is>
          <t>Destined Rivals</t>
        </is>
      </c>
      <c r="I147" s="14" t="n"/>
      <c r="J147" s="14" t="n"/>
      <c r="K147" s="14" t="n"/>
      <c r="L147" s="14" t="n"/>
      <c r="M147" s="14">
        <f>SUM(I147,R147,T147,V147,X147)</f>
        <v/>
      </c>
      <c r="N147" s="14" t="inlineStr">
        <is>
          <t>Yes</t>
        </is>
      </c>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n"/>
      <c r="H148" s="15" t="inlineStr">
        <is>
          <t>Chaos Rising</t>
        </is>
      </c>
      <c r="I148" s="14" t="n"/>
      <c r="J148" s="14" t="n"/>
      <c r="K148" s="14" t="n"/>
      <c r="L148" s="14" t="n"/>
      <c r="M148" s="14">
        <f>SUM(I148,R148,T148,V148,X148)</f>
        <v/>
      </c>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n"/>
      <c r="H149" s="15" t="inlineStr">
        <is>
          <t>Chaos Rising</t>
        </is>
      </c>
      <c r="I149" s="14" t="n"/>
      <c r="J149" s="14" t="n"/>
      <c r="K149" s="14" t="n"/>
      <c r="L149" s="14" t="n"/>
      <c r="M149" s="14">
        <f>SUM(I149,R149,T149,V149,X149)</f>
        <v/>
      </c>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n"/>
      <c r="H150" s="15" t="inlineStr">
        <is>
          <t>Chaos Rising</t>
        </is>
      </c>
      <c r="I150" s="14" t="n"/>
      <c r="J150" s="14" t="n"/>
      <c r="K150" s="14" t="n"/>
      <c r="L150" s="14" t="n"/>
      <c r="M150" s="14">
        <f>SUM(I150,R150,T150,V150,X150)</f>
        <v/>
      </c>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n"/>
      <c r="H151" s="15" t="inlineStr">
        <is>
          <t>Chaos Rising</t>
        </is>
      </c>
      <c r="I151" s="14" t="n"/>
      <c r="J151" s="14" t="n"/>
      <c r="K151" s="14" t="n"/>
      <c r="L151" s="14" t="n"/>
      <c r="M151" s="14">
        <f>SUM(I151,R151,T151,V151,X151)</f>
        <v/>
      </c>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n"/>
      <c r="H152" s="15" t="inlineStr">
        <is>
          <t>Chaos Rising</t>
        </is>
      </c>
      <c r="I152" s="14" t="n"/>
      <c r="J152" s="14" t="n"/>
      <c r="K152" s="14" t="n"/>
      <c r="L152" s="14" t="n"/>
      <c r="M152" s="14">
        <f>SUM(I152,R152,T152,V152,X152)</f>
        <v/>
      </c>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n"/>
      <c r="H153" s="15" t="inlineStr">
        <is>
          <t>Chaos Rising</t>
        </is>
      </c>
      <c r="I153" s="14" t="n"/>
      <c r="J153" s="14" t="n"/>
      <c r="K153" s="14" t="n"/>
      <c r="L153" s="14" t="n"/>
      <c r="M153" s="14">
        <f>SUM(I153,R153,T153,V153,X153)</f>
        <v/>
      </c>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n"/>
      <c r="H154" s="15" t="inlineStr">
        <is>
          <t>Prismatic Evolutions</t>
        </is>
      </c>
      <c r="I154" s="14" t="n"/>
      <c r="J154" s="14" t="n"/>
      <c r="K154" s="14" t="n"/>
      <c r="L154" s="14" t="n"/>
      <c r="M154" s="14">
        <f>SUM(I154,R154,T154,V154,X154)</f>
        <v/>
      </c>
      <c r="N154" s="14" t="inlineStr">
        <is>
          <t>Yes</t>
        </is>
      </c>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n"/>
      <c r="H155" s="15" t="inlineStr">
        <is>
          <t>Perfect Order</t>
        </is>
      </c>
      <c r="I155" s="14" t="n"/>
      <c r="J155" s="14" t="n"/>
      <c r="K155" s="14" t="n"/>
      <c r="L155" s="14" t="n"/>
      <c r="M155" s="14">
        <f>SUM(I155,R155,T155,V155,X155)</f>
        <v/>
      </c>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n"/>
      <c r="H156" s="15" t="inlineStr">
        <is>
          <t>Journey Together</t>
        </is>
      </c>
      <c r="I156" s="14" t="n"/>
      <c r="J156" s="14" t="n"/>
      <c r="K156" s="14" t="n"/>
      <c r="L156" s="14" t="n"/>
      <c r="M156" s="14">
        <f>SUM(I156,R156,T156,V156,X156)</f>
        <v/>
      </c>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n"/>
      <c r="H157" s="15" t="inlineStr">
        <is>
          <t>Destined Rivals</t>
        </is>
      </c>
      <c r="I157" s="14" t="n"/>
      <c r="J157" s="14" t="n"/>
      <c r="K157" s="14" t="n"/>
      <c r="L157" s="14" t="n"/>
      <c r="M157" s="14">
        <f>SUM(I157,R157,T157,V157,X157)</f>
        <v/>
      </c>
      <c r="N157" s="14" t="inlineStr">
        <is>
          <t>Yes</t>
        </is>
      </c>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4" t="n"/>
      <c r="H158" s="15" t="inlineStr">
        <is>
          <t>Stellar Miracle (JP)</t>
        </is>
      </c>
      <c r="I158" s="14" t="n"/>
      <c r="J158" s="14" t="n"/>
      <c r="K158" s="14" t="n"/>
      <c r="L158" s="14" t="n"/>
      <c r="M158" s="14">
        <f>SUM(I158,R158,T158,V158,X158)</f>
        <v/>
      </c>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n"/>
      <c r="H159" s="15" t="inlineStr">
        <is>
          <t>Perfect Order</t>
        </is>
      </c>
      <c r="I159" s="14" t="n"/>
      <c r="J159" s="14" t="n"/>
      <c r="K159" s="14" t="n"/>
      <c r="L159" s="14" t="n"/>
      <c r="M159" s="14">
        <f>SUM(I159,R159,T159,V159,X159)</f>
        <v/>
      </c>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n"/>
      <c r="H160" s="15" t="inlineStr">
        <is>
          <t>Destined Rivals</t>
        </is>
      </c>
      <c r="I160" s="14" t="n"/>
      <c r="J160" s="14" t="n"/>
      <c r="K160" s="14" t="n"/>
      <c r="L160" s="14" t="n"/>
      <c r="M160" s="14">
        <f>SUM(I160,R160,T160,V160,X160)</f>
        <v/>
      </c>
      <c r="N160" s="14" t="inlineStr">
        <is>
          <t>Yes</t>
        </is>
      </c>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n"/>
      <c r="H161" s="15" t="inlineStr">
        <is>
          <t>Prismatic Evolutions</t>
        </is>
      </c>
      <c r="I161" s="14" t="n"/>
      <c r="J161" s="14" t="n"/>
      <c r="K161" s="14" t="n"/>
      <c r="L161" s="14" t="n"/>
      <c r="M161" s="14">
        <f>SUM(I161,R161,T161,V161,X161)</f>
        <v/>
      </c>
      <c r="N161" s="14" t="inlineStr">
        <is>
          <t>Yes</t>
        </is>
      </c>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n"/>
      <c r="H162" s="15" t="inlineStr">
        <is>
          <t>Perfect Order</t>
        </is>
      </c>
      <c r="I162" s="14" t="n"/>
      <c r="J162" s="14" t="n"/>
      <c r="K162" s="14" t="n"/>
      <c r="L162" s="14" t="n"/>
      <c r="M162" s="14">
        <f>SUM(I162,R162,T162,V162,X162)</f>
        <v/>
      </c>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n"/>
      <c r="H163" s="15" t="inlineStr">
        <is>
          <t>Journey Together</t>
        </is>
      </c>
      <c r="I163" s="14" t="n"/>
      <c r="J163" s="14" t="n"/>
      <c r="K163" s="14" t="n"/>
      <c r="L163" s="14" t="n"/>
      <c r="M163" s="14">
        <f>SUM(I163,R163,T163,V163,X163)</f>
        <v/>
      </c>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n"/>
      <c r="H164" s="15" t="inlineStr">
        <is>
          <t>Prismatic Evolutions</t>
        </is>
      </c>
      <c r="I164" s="14" t="n"/>
      <c r="J164" s="14" t="n"/>
      <c r="K164" s="14" t="n"/>
      <c r="L164" s="14" t="n"/>
      <c r="M164" s="14">
        <f>SUM(I164,R164,T164,V164,X164)</f>
        <v/>
      </c>
      <c r="N164" s="14" t="inlineStr">
        <is>
          <t>Yes</t>
        </is>
      </c>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4" t="n"/>
      <c r="H165" s="15" t="inlineStr">
        <is>
          <t>Mega Symphonia (JP)</t>
        </is>
      </c>
      <c r="I165" s="14" t="n"/>
      <c r="J165" s="14" t="n"/>
      <c r="K165" s="14" t="n"/>
      <c r="L165" s="14" t="n"/>
      <c r="M165" s="14">
        <f>SUM(I165,R165,T165,V165,X165)</f>
        <v/>
      </c>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n"/>
      <c r="H166" s="15" t="inlineStr">
        <is>
          <t>Ascended Heroes</t>
        </is>
      </c>
      <c r="I166" s="14" t="n"/>
      <c r="J166" s="14" t="n"/>
      <c r="K166" s="14" t="n"/>
      <c r="L166" s="14" t="n"/>
      <c r="M166" s="14">
        <f>SUM(I166,R166,T166,V166,X166)</f>
        <v/>
      </c>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n"/>
      <c r="H167" s="15" t="inlineStr">
        <is>
          <t>Destined Rivals</t>
        </is>
      </c>
      <c r="I167" s="14" t="n"/>
      <c r="J167" s="14" t="n"/>
      <c r="K167" s="14" t="n"/>
      <c r="L167" s="14" t="n"/>
      <c r="M167" s="14">
        <f>SUM(I167,R167,T167,V167,X167)</f>
        <v/>
      </c>
      <c r="N167" s="14" t="inlineStr">
        <is>
          <t>Yes</t>
        </is>
      </c>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n"/>
      <c r="H168" s="15" t="inlineStr">
        <is>
          <t>Perfect Order</t>
        </is>
      </c>
      <c r="I168" s="14" t="n"/>
      <c r="J168" s="14" t="n"/>
      <c r="K168" s="14" t="n"/>
      <c r="L168" s="14" t="n"/>
      <c r="M168" s="14">
        <f>SUM(I168,R168,T168,V168,X168)</f>
        <v/>
      </c>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n"/>
      <c r="H169" s="15" t="inlineStr">
        <is>
          <t>Journey Together</t>
        </is>
      </c>
      <c r="I169" s="14" t="n"/>
      <c r="J169" s="14" t="n"/>
      <c r="K169" s="14" t="n"/>
      <c r="L169" s="14" t="n"/>
      <c r="M169" s="14">
        <f>SUM(I169,R169,T169,V169,X169)</f>
        <v/>
      </c>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n"/>
      <c r="H170" s="15" t="inlineStr">
        <is>
          <t>Prismatic Evolutions</t>
        </is>
      </c>
      <c r="I170" s="14" t="n"/>
      <c r="J170" s="14" t="n"/>
      <c r="K170" s="14" t="n"/>
      <c r="L170" s="14" t="n"/>
      <c r="M170" s="14">
        <f>SUM(I170,R170,T170,V170,X170)</f>
        <v/>
      </c>
      <c r="N170" s="14" t="inlineStr">
        <is>
          <t>Yes</t>
        </is>
      </c>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4" t="n"/>
      <c r="H171" s="15" t="inlineStr">
        <is>
          <t>Stellar Miracle (JP)</t>
        </is>
      </c>
      <c r="I171" s="14" t="n"/>
      <c r="J171" s="14" t="n"/>
      <c r="K171" s="14" t="n"/>
      <c r="L171" s="14" t="n"/>
      <c r="M171" s="14">
        <f>SUM(I171,R171,T171,V171,X171)</f>
        <v/>
      </c>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n"/>
      <c r="H172" s="15" t="inlineStr">
        <is>
          <t>Ascended Heroes</t>
        </is>
      </c>
      <c r="I172" s="14" t="n"/>
      <c r="J172" s="14" t="n"/>
      <c r="K172" s="14" t="n"/>
      <c r="L172" s="14" t="n"/>
      <c r="M172" s="14">
        <f>SUM(I172,R172,T172,V172,X172)</f>
        <v/>
      </c>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n"/>
      <c r="H173" s="15" t="inlineStr">
        <is>
          <t>Destined Rivals</t>
        </is>
      </c>
      <c r="I173" s="14" t="n"/>
      <c r="J173" s="14" t="n"/>
      <c r="K173" s="14" t="n"/>
      <c r="L173" s="14" t="n"/>
      <c r="M173" s="14">
        <f>SUM(I173,R173,T173,V173,X173)</f>
        <v/>
      </c>
      <c r="N173" s="14" t="inlineStr">
        <is>
          <t>Yes</t>
        </is>
      </c>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n"/>
      <c r="H174" s="15" t="inlineStr">
        <is>
          <t>Perfect Order</t>
        </is>
      </c>
      <c r="I174" s="14" t="n"/>
      <c r="J174" s="14" t="n"/>
      <c r="K174" s="14" t="n"/>
      <c r="L174" s="14" t="n"/>
      <c r="M174" s="14">
        <f>SUM(I174,R174,T174,V174,X174)</f>
        <v/>
      </c>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4" t="n"/>
      <c r="H175" s="15" t="inlineStr">
        <is>
          <t>Mega Symphonia (JP)</t>
        </is>
      </c>
      <c r="I175" s="14" t="n"/>
      <c r="J175" s="14" t="n"/>
      <c r="K175" s="14" t="n"/>
      <c r="L175" s="14" t="n"/>
      <c r="M175" s="14">
        <f>SUM(I175,R175,T175,V175,X175)</f>
        <v/>
      </c>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n"/>
      <c r="H176" s="15" t="inlineStr">
        <is>
          <t>Journey Together</t>
        </is>
      </c>
      <c r="I176" s="14" t="n"/>
      <c r="J176" s="14" t="n"/>
      <c r="K176" s="14" t="n"/>
      <c r="L176" s="14" t="n"/>
      <c r="M176" s="14">
        <f>SUM(I176,R176,T176,V176,X176)</f>
        <v/>
      </c>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n"/>
      <c r="H177" s="15" t="inlineStr">
        <is>
          <t>Destined Rivals</t>
        </is>
      </c>
      <c r="I177" s="14" t="n"/>
      <c r="J177" s="14" t="n"/>
      <c r="K177" s="14" t="n"/>
      <c r="L177" s="14" t="n"/>
      <c r="M177" s="14">
        <f>SUM(I177,R177,T177,V177,X177)</f>
        <v/>
      </c>
      <c r="N177" s="14" t="inlineStr">
        <is>
          <t>Yes</t>
        </is>
      </c>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n"/>
      <c r="H178" s="15" t="inlineStr">
        <is>
          <t>Prismatic Evolutions</t>
        </is>
      </c>
      <c r="I178" s="14" t="n"/>
      <c r="J178" s="14" t="n"/>
      <c r="K178" s="14" t="n"/>
      <c r="L178" s="14" t="n"/>
      <c r="M178" s="14">
        <f>SUM(I178,R178,T178,V178,X178)</f>
        <v/>
      </c>
      <c r="N178" s="14" t="inlineStr">
        <is>
          <t>Yes</t>
        </is>
      </c>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n"/>
      <c r="H179" s="15" t="inlineStr">
        <is>
          <t>Ascended Heroes</t>
        </is>
      </c>
      <c r="I179" s="14" t="n"/>
      <c r="J179" s="14" t="n"/>
      <c r="K179" s="14" t="n"/>
      <c r="L179" s="14" t="n"/>
      <c r="M179" s="14">
        <f>SUM(I179,R179,T179,V179,X179)</f>
        <v/>
      </c>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n"/>
      <c r="H180" s="15" t="inlineStr">
        <is>
          <t>Perfect Order</t>
        </is>
      </c>
      <c r="I180" s="14" t="n"/>
      <c r="J180" s="14" t="n"/>
      <c r="K180" s="14" t="n"/>
      <c r="L180" s="14" t="n"/>
      <c r="M180" s="14">
        <f>SUM(I180,R180,T180,V180,X180)</f>
        <v/>
      </c>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n"/>
      <c r="H181" s="15" t="inlineStr">
        <is>
          <t>Journey Together</t>
        </is>
      </c>
      <c r="I181" s="14" t="n"/>
      <c r="J181" s="14" t="n"/>
      <c r="K181" s="14" t="n"/>
      <c r="L181" s="14" t="n"/>
      <c r="M181" s="14">
        <f>SUM(I181,R181,T181,V181,X181)</f>
        <v/>
      </c>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n"/>
      <c r="H182" s="15" t="inlineStr">
        <is>
          <t>Perfect Order</t>
        </is>
      </c>
      <c r="I182" s="14" t="n"/>
      <c r="J182" s="14" t="n"/>
      <c r="K182" s="14" t="n"/>
      <c r="L182" s="14" t="n"/>
      <c r="M182" s="14">
        <f>SUM(I182,R182,T182,V182,X182)</f>
        <v/>
      </c>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n"/>
      <c r="H183" s="15" t="inlineStr">
        <is>
          <t>Destined Rivals</t>
        </is>
      </c>
      <c r="I183" s="14" t="n"/>
      <c r="J183" s="14" t="n"/>
      <c r="K183" s="14" t="n"/>
      <c r="L183" s="14" t="n"/>
      <c r="M183" s="14">
        <f>SUM(I183,R183,T183,V183,X183)</f>
        <v/>
      </c>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n"/>
      <c r="H184" s="15" t="inlineStr">
        <is>
          <t>Ascended Heroes</t>
        </is>
      </c>
      <c r="I184" s="14" t="n"/>
      <c r="J184" s="14" t="n"/>
      <c r="K184" s="14" t="n"/>
      <c r="L184" s="14" t="n"/>
      <c r="M184" s="14">
        <f>SUM(I184,R184,T184,V184,X184)</f>
        <v/>
      </c>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n"/>
      <c r="H185" s="15" t="inlineStr">
        <is>
          <t>Ascended Heroes</t>
        </is>
      </c>
      <c r="I185" s="14" t="n"/>
      <c r="J185" s="14" t="n"/>
      <c r="K185" s="14" t="n"/>
      <c r="L185" s="14" t="n"/>
      <c r="M185" s="14">
        <f>SUM(I185,R185,T185,V185,X185)</f>
        <v/>
      </c>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n"/>
      <c r="H186" s="15" t="inlineStr">
        <is>
          <t>Destined Rivals</t>
        </is>
      </c>
      <c r="I186" s="14" t="n"/>
      <c r="J186" s="14" t="n"/>
      <c r="K186" s="14" t="n"/>
      <c r="L186" s="14" t="n"/>
      <c r="M186" s="14">
        <f>SUM(I186,R186,T186,V186,X186)</f>
        <v/>
      </c>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n"/>
      <c r="H187" s="15" t="inlineStr">
        <is>
          <t>Perfect Order</t>
        </is>
      </c>
      <c r="I187" s="14" t="n"/>
      <c r="J187" s="14" t="n"/>
      <c r="K187" s="14" t="n"/>
      <c r="L187" s="14" t="n"/>
      <c r="M187" s="14">
        <f>SUM(I187,R187,T187,V187,X187)</f>
        <v/>
      </c>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n"/>
      <c r="H188" s="15" t="inlineStr">
        <is>
          <t>Ascended Heroes</t>
        </is>
      </c>
      <c r="I188" s="14" t="n"/>
      <c r="J188" s="14" t="n"/>
      <c r="K188" s="14" t="n"/>
      <c r="L188" s="14" t="n"/>
      <c r="M188" s="14">
        <f>SUM(I188,R188,T188,V188,X188)</f>
        <v/>
      </c>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n"/>
      <c r="H189" s="15" t="inlineStr">
        <is>
          <t>Phantasmal Flames</t>
        </is>
      </c>
      <c r="I189" s="14" t="n"/>
      <c r="J189" s="14" t="n"/>
      <c r="K189" s="14" t="n"/>
      <c r="L189" s="14" t="n"/>
      <c r="M189" s="14">
        <f>SUM(I189,R189,T189,V189,X189)</f>
        <v/>
      </c>
      <c r="N189" s="14" t="inlineStr">
        <is>
          <t>Yes</t>
        </is>
      </c>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n"/>
      <c r="H190" s="15" t="inlineStr">
        <is>
          <t>Destined Rivals</t>
        </is>
      </c>
      <c r="I190" s="14" t="n"/>
      <c r="J190" s="14" t="n"/>
      <c r="K190" s="14" t="n"/>
      <c r="L190" s="14" t="n"/>
      <c r="M190" s="14">
        <f>SUM(I190,R190,T190,V190,X190)</f>
        <v/>
      </c>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n"/>
      <c r="H191" s="15" t="inlineStr">
        <is>
          <t>Perfect Order</t>
        </is>
      </c>
      <c r="I191" s="14" t="n"/>
      <c r="J191" s="14" t="n"/>
      <c r="K191" s="14" t="n"/>
      <c r="L191" s="14" t="n"/>
      <c r="M191" s="14">
        <f>SUM(I191,R191,T191,V191,X191)</f>
        <v/>
      </c>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n"/>
      <c r="H192" s="15" t="inlineStr">
        <is>
          <t>Ascended Heroes</t>
        </is>
      </c>
      <c r="I192" s="14" t="n"/>
      <c r="J192" s="14" t="n"/>
      <c r="K192" s="14" t="n"/>
      <c r="L192" s="14" t="n"/>
      <c r="M192" s="14">
        <f>SUM(I192,R192,T192,V192,X192)</f>
        <v/>
      </c>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n"/>
      <c r="H193" s="15" t="inlineStr">
        <is>
          <t>Phantasmal Flames</t>
        </is>
      </c>
      <c r="I193" s="14" t="n"/>
      <c r="J193" s="14" t="n"/>
      <c r="K193" s="14" t="n"/>
      <c r="L193" s="14" t="n"/>
      <c r="M193" s="14">
        <f>SUM(I193,R193,T193,V193,X193)</f>
        <v/>
      </c>
      <c r="N193" s="14" t="inlineStr">
        <is>
          <t>Yes</t>
        </is>
      </c>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n"/>
      <c r="H194" s="15" t="inlineStr">
        <is>
          <t>Mega Evolution</t>
        </is>
      </c>
      <c r="I194" s="14" t="n"/>
      <c r="J194" s="14" t="n"/>
      <c r="K194" s="14" t="n"/>
      <c r="L194" s="14" t="n"/>
      <c r="M194" s="14">
        <f>SUM(I194,R194,T194,V194,X194)</f>
        <v/>
      </c>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n"/>
      <c r="H195" s="15" t="inlineStr">
        <is>
          <t>Perfect Order</t>
        </is>
      </c>
      <c r="I195" s="14" t="n"/>
      <c r="J195" s="14" t="n"/>
      <c r="K195" s="14" t="n"/>
      <c r="L195" s="14" t="n"/>
      <c r="M195" s="14">
        <f>SUM(I195,R195,T195,V195,X195)</f>
        <v/>
      </c>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n"/>
      <c r="H196" s="15" t="inlineStr">
        <is>
          <t>Destined Rivals</t>
        </is>
      </c>
      <c r="I196" s="14" t="n"/>
      <c r="J196" s="14" t="n"/>
      <c r="K196" s="14" t="n"/>
      <c r="L196" s="14" t="n"/>
      <c r="M196" s="14">
        <f>SUM(I196,R196,T196,V196,X196)</f>
        <v/>
      </c>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n"/>
      <c r="H197" s="15" t="inlineStr">
        <is>
          <t>Obsidian Flames</t>
        </is>
      </c>
      <c r="I197" s="14" t="n"/>
      <c r="J197" s="14" t="n"/>
      <c r="K197" s="14" t="n"/>
      <c r="L197" s="14" t="n"/>
      <c r="M197" s="14">
        <f>SUM(I197,R197,T197,V197,X197)</f>
        <v/>
      </c>
      <c r="N197" s="14" t="inlineStr">
        <is>
          <t>Yes</t>
        </is>
      </c>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n"/>
      <c r="H198" s="15" t="inlineStr">
        <is>
          <t>Phantasmal Flames</t>
        </is>
      </c>
      <c r="I198" s="14" t="n"/>
      <c r="J198" s="14" t="n"/>
      <c r="K198" s="14" t="n"/>
      <c r="L198" s="14" t="n"/>
      <c r="M198" s="14">
        <f>SUM(I198,R198,T198,V198,X198)</f>
        <v/>
      </c>
      <c r="N198" s="14" t="inlineStr">
        <is>
          <t>Yes</t>
        </is>
      </c>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n"/>
      <c r="H199" s="15" t="inlineStr">
        <is>
          <t>Ascended Heroes</t>
        </is>
      </c>
      <c r="I199" s="14" t="n"/>
      <c r="J199" s="14" t="n"/>
      <c r="K199" s="14" t="n"/>
      <c r="L199" s="14" t="n"/>
      <c r="M199" s="14">
        <f>SUM(I199,R199,T199,V199,X199)</f>
        <v/>
      </c>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n"/>
      <c r="H200" s="15" t="inlineStr">
        <is>
          <t>Ascended Heroes</t>
        </is>
      </c>
      <c r="I200" s="14" t="n"/>
      <c r="J200" s="14" t="n"/>
      <c r="K200" s="14" t="n"/>
      <c r="L200" s="14" t="n"/>
      <c r="M200" s="14">
        <f>SUM(I200,R200,T200,V200,X200)</f>
        <v/>
      </c>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4" t="n"/>
      <c r="H201" s="15" t="inlineStr">
        <is>
          <t>Nihil Zero (JP)</t>
        </is>
      </c>
      <c r="I201" s="14" t="n"/>
      <c r="J201" s="14" t="n"/>
      <c r="K201" s="14" t="n"/>
      <c r="L201" s="14" t="n"/>
      <c r="M201" s="14">
        <f>SUM(I201,R201,T201,V201,X201)</f>
        <v/>
      </c>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n"/>
      <c r="H202" s="14" t="n"/>
      <c r="I202" s="14" t="n"/>
      <c r="J202" s="14" t="n"/>
      <c r="K202" s="14" t="n"/>
      <c r="L202" s="14" t="n"/>
      <c r="M202" s="14">
        <f>SUM(I202,R202,T202,V202,X202)</f>
        <v/>
      </c>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n"/>
      <c r="H203" s="15" t="inlineStr">
        <is>
          <t>Pokémon GO</t>
        </is>
      </c>
      <c r="I203" s="14" t="n"/>
      <c r="J203" s="14" t="n"/>
      <c r="K203" s="14" t="n"/>
      <c r="L203" s="14" t="n"/>
      <c r="M203" s="14">
        <f>SUM(I203,R203,T203,V203,X203)</f>
        <v/>
      </c>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n"/>
      <c r="H204" s="15" t="inlineStr">
        <is>
          <t>Ascended Heroes</t>
        </is>
      </c>
      <c r="I204" s="14" t="n"/>
      <c r="J204" s="14" t="n"/>
      <c r="K204" s="14" t="n"/>
      <c r="L204" s="14" t="n"/>
      <c r="M204" s="14">
        <f>SUM(I204,R204,T204,V204,X204)</f>
        <v/>
      </c>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n"/>
      <c r="H205" s="15" t="inlineStr">
        <is>
          <t>Phantasmal Flames</t>
        </is>
      </c>
      <c r="I205" s="14" t="n"/>
      <c r="J205" s="14" t="n"/>
      <c r="K205" s="14" t="n"/>
      <c r="L205" s="14" t="n"/>
      <c r="M205" s="14">
        <f>SUM(I205,R205,T205,V205,X205)</f>
        <v/>
      </c>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n"/>
      <c r="H206" s="15" t="inlineStr">
        <is>
          <t>Prismatic Evolutions</t>
        </is>
      </c>
      <c r="I206" s="14" t="n"/>
      <c r="J206" s="14" t="n"/>
      <c r="K206" s="14" t="n"/>
      <c r="L206" s="14" t="n"/>
      <c r="M206" s="14">
        <f>SUM(I206,R206,T206,V206,X206)</f>
        <v/>
      </c>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n"/>
      <c r="H207" s="15" t="inlineStr">
        <is>
          <t>Pokémon GO</t>
        </is>
      </c>
      <c r="I207" s="14" t="n"/>
      <c r="J207" s="14" t="n"/>
      <c r="K207" s="14" t="n"/>
      <c r="L207" s="14" t="n"/>
      <c r="M207" s="14">
        <f>SUM(I207,R207,T207,V207,X207)</f>
        <v/>
      </c>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4" t="n"/>
      <c r="H208" s="14" t="n"/>
      <c r="I208" s="14" t="n"/>
      <c r="J208" s="14" t="n"/>
      <c r="K208" s="14" t="n"/>
      <c r="L208" s="14" t="n"/>
      <c r="M208" s="14">
        <f>SUM(I208,R208,T208,V208,X208)</f>
        <v/>
      </c>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n"/>
      <c r="H209" s="15" t="inlineStr">
        <is>
          <t>Journey Together</t>
        </is>
      </c>
      <c r="I209" s="14" t="n"/>
      <c r="J209" s="14" t="n"/>
      <c r="K209" s="14" t="n"/>
      <c r="L209" s="14" t="n"/>
      <c r="M209" s="14">
        <f>SUM(I209,R209,T209,V209,X209)</f>
        <v/>
      </c>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n"/>
      <c r="H210" s="15" t="inlineStr">
        <is>
          <t>Prismatic Evolutions</t>
        </is>
      </c>
      <c r="I210" s="14" t="n"/>
      <c r="J210" s="14" t="n"/>
      <c r="K210" s="14" t="n"/>
      <c r="L210" s="14" t="n"/>
      <c r="M210" s="14">
        <f>SUM(I210,R210,T210,V210,X210)</f>
        <v/>
      </c>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n"/>
      <c r="H211" s="14" t="n"/>
      <c r="I211" s="14" t="n"/>
      <c r="J211" s="14" t="n"/>
      <c r="K211" s="14" t="n"/>
      <c r="L211" s="14" t="n"/>
      <c r="M211" s="14">
        <f>SUM(I211,R211,T211,V211,X211)</f>
        <v/>
      </c>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n"/>
      <c r="H212" s="15" t="inlineStr">
        <is>
          <t>Ascended Heroes</t>
        </is>
      </c>
      <c r="I212" s="14" t="n"/>
      <c r="J212" s="14" t="n"/>
      <c r="K212" s="14" t="n"/>
      <c r="L212" s="14" t="n"/>
      <c r="M212" s="14">
        <f>SUM(I212,R212,T212,V212,X212)</f>
        <v/>
      </c>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4" t="n"/>
      <c r="H213" s="15" t="inlineStr">
        <is>
          <t>Nihil Zero (JP)</t>
        </is>
      </c>
      <c r="I213" s="14" t="n"/>
      <c r="J213" s="14" t="n"/>
      <c r="K213" s="14" t="n"/>
      <c r="L213" s="14" t="n"/>
      <c r="M213" s="14">
        <f>SUM(I213,R213,T213,V213,X213)</f>
        <v/>
      </c>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n"/>
      <c r="H214" s="15" t="inlineStr">
        <is>
          <t>Journey Together</t>
        </is>
      </c>
      <c r="I214" s="14" t="n"/>
      <c r="J214" s="14" t="n"/>
      <c r="K214" s="14" t="n"/>
      <c r="L214" s="14" t="n"/>
      <c r="M214" s="14">
        <f>SUM(I214,R214,T214,V214,X214)</f>
        <v/>
      </c>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n"/>
      <c r="H215" s="15" t="inlineStr">
        <is>
          <t>Mega Evolution</t>
        </is>
      </c>
      <c r="I215" s="14" t="n"/>
      <c r="J215" s="14" t="n"/>
      <c r="K215" s="14" t="n"/>
      <c r="L215" s="14" t="n"/>
      <c r="M215" s="14">
        <f>SUM(I215,R215,T215,V215,X215)</f>
        <v/>
      </c>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n"/>
      <c r="H216" s="15" t="inlineStr">
        <is>
          <t>Perfect Order</t>
        </is>
      </c>
      <c r="I216" s="14" t="n"/>
      <c r="J216" s="14" t="n"/>
      <c r="K216" s="14" t="n"/>
      <c r="L216" s="14" t="n"/>
      <c r="M216" s="14">
        <f>SUM(I216,R216,T216,V216,X216)</f>
        <v/>
      </c>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n"/>
      <c r="H217" s="15" t="inlineStr">
        <is>
          <t>Phantasmal Flames</t>
        </is>
      </c>
      <c r="I217" s="14" t="n"/>
      <c r="J217" s="14" t="n"/>
      <c r="K217" s="14" t="n"/>
      <c r="L217" s="14" t="n"/>
      <c r="M217" s="14">
        <f>SUM(I217,R217,T217,V217,X217)</f>
        <v/>
      </c>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n"/>
      <c r="H218" s="14" t="n"/>
      <c r="I218" s="14" t="n"/>
      <c r="J218" s="14" t="n"/>
      <c r="K218" s="14" t="n"/>
      <c r="L218" s="14" t="n"/>
      <c r="M218" s="14">
        <f>SUM(I218,R218,T218,V218,X218)</f>
        <v/>
      </c>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n"/>
      <c r="H219" s="15" t="inlineStr">
        <is>
          <t>Mega Evolution</t>
        </is>
      </c>
      <c r="I219" s="14" t="n"/>
      <c r="J219" s="14" t="n"/>
      <c r="K219" s="14" t="n"/>
      <c r="L219" s="14" t="n"/>
      <c r="M219" s="14">
        <f>SUM(I219,R219,T219,V219,X219)</f>
        <v/>
      </c>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n"/>
      <c r="H220" s="15" t="inlineStr">
        <is>
          <t>Crown Zenith</t>
        </is>
      </c>
      <c r="I220" s="14" t="n"/>
      <c r="J220" s="14" t="n"/>
      <c r="K220" s="14" t="n"/>
      <c r="L220" s="14" t="n"/>
      <c r="M220" s="14">
        <f>SUM(I220,R220,T220,V220,X220)</f>
        <v/>
      </c>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n"/>
      <c r="H221" s="15" t="inlineStr">
        <is>
          <t>Journey Together</t>
        </is>
      </c>
      <c r="I221" s="14" t="n"/>
      <c r="J221" s="14" t="n"/>
      <c r="K221" s="14" t="n"/>
      <c r="L221" s="14" t="n"/>
      <c r="M221" s="14">
        <f>SUM(I221,R221,T221,V221,X221)</f>
        <v/>
      </c>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n"/>
      <c r="H222" s="14" t="n"/>
      <c r="I222" s="14" t="n"/>
      <c r="J222" s="14" t="n"/>
      <c r="K222" s="14" t="n"/>
      <c r="L222" s="14" t="n"/>
      <c r="M222" s="14">
        <f>SUM(I222,R222,T222,V222,X222)</f>
        <v/>
      </c>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n"/>
      <c r="H223" s="15" t="inlineStr">
        <is>
          <t>Perfect Order</t>
        </is>
      </c>
      <c r="I223" s="14" t="n"/>
      <c r="J223" s="14" t="n"/>
      <c r="K223" s="14" t="n"/>
      <c r="L223" s="14" t="n"/>
      <c r="M223" s="14">
        <f>SUM(I223,R223,T223,V223,X223)</f>
        <v/>
      </c>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n"/>
      <c r="H224" s="15" t="inlineStr">
        <is>
          <t>Journey Together</t>
        </is>
      </c>
      <c r="I224" s="14" t="n"/>
      <c r="J224" s="14" t="n"/>
      <c r="K224" s="14" t="n"/>
      <c r="L224" s="14" t="n"/>
      <c r="M224" s="14">
        <f>SUM(I224,R224,T224,V224,X224)</f>
        <v/>
      </c>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4" t="n"/>
      <c r="H225" s="15" t="inlineStr">
        <is>
          <t>Mega Brave (JP)</t>
        </is>
      </c>
      <c r="I225" s="14" t="n"/>
      <c r="J225" s="14" t="n"/>
      <c r="K225" s="14" t="n"/>
      <c r="L225" s="14" t="n"/>
      <c r="M225" s="14">
        <f>SUM(I225,R225,T225,V225,X225)</f>
        <v/>
      </c>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n"/>
      <c r="H226" s="15" t="inlineStr">
        <is>
          <t>Perfect Order</t>
        </is>
      </c>
      <c r="I226" s="14" t="n"/>
      <c r="J226" s="14" t="n"/>
      <c r="K226" s="14" t="n"/>
      <c r="L226" s="14" t="n"/>
      <c r="M226" s="14">
        <f>SUM(I226,R226,T226,V226,X226)</f>
        <v/>
      </c>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n"/>
      <c r="H227" s="15" t="inlineStr">
        <is>
          <t>Chilling Reign</t>
        </is>
      </c>
      <c r="I227" s="14" t="n"/>
      <c r="J227" s="14" t="n"/>
      <c r="K227" s="14" t="n"/>
      <c r="L227" s="14" t="n"/>
      <c r="M227" s="14">
        <f>SUM(I227,R227,T227,V227,X227)</f>
        <v/>
      </c>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n"/>
      <c r="H228" s="15" t="inlineStr">
        <is>
          <t>Journey Together</t>
        </is>
      </c>
      <c r="I228" s="14" t="n"/>
      <c r="J228" s="14" t="n"/>
      <c r="K228" s="14" t="n"/>
      <c r="L228" s="14" t="n"/>
      <c r="M228" s="14">
        <f>SUM(I228,R228,T228,V228,X228)</f>
        <v/>
      </c>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n"/>
      <c r="H229" s="14" t="n"/>
      <c r="I229" s="14" t="n"/>
      <c r="J229" s="14" t="n"/>
      <c r="K229" s="14" t="n"/>
      <c r="L229" s="14" t="n"/>
      <c r="M229" s="14">
        <f>SUM(I229,R229,T229,V229,X229)</f>
        <v/>
      </c>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n"/>
      <c r="H230" s="15" t="inlineStr">
        <is>
          <t>Perfect Order</t>
        </is>
      </c>
      <c r="I230" s="14" t="n"/>
      <c r="J230" s="14" t="n"/>
      <c r="K230" s="14" t="n"/>
      <c r="L230" s="14" t="n"/>
      <c r="M230" s="14">
        <f>SUM(I230,R230,T230,V230,X230)</f>
        <v/>
      </c>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n"/>
      <c r="H231" s="15" t="inlineStr">
        <is>
          <t>Paradox Rift</t>
        </is>
      </c>
      <c r="I231" s="14" t="n"/>
      <c r="J231" s="14" t="n"/>
      <c r="K231" s="14" t="n"/>
      <c r="L231" s="14" t="n"/>
      <c r="M231" s="14">
        <f>SUM(I231,R231,T231,V231,X231)</f>
        <v/>
      </c>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n"/>
      <c r="H232" s="15" t="inlineStr">
        <is>
          <t>Journey Together</t>
        </is>
      </c>
      <c r="I232" s="14" t="n"/>
      <c r="J232" s="14" t="n"/>
      <c r="K232" s="14" t="n"/>
      <c r="L232" s="14" t="n"/>
      <c r="M232" s="14">
        <f>SUM(I232,R232,T232,V232,X232)</f>
        <v/>
      </c>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n"/>
      <c r="H233" s="15" t="inlineStr">
        <is>
          <t>Rebel Clash</t>
        </is>
      </c>
      <c r="I233" s="14" t="n"/>
      <c r="J233" s="14" t="n"/>
      <c r="K233" s="14" t="n"/>
      <c r="L233" s="14" t="n"/>
      <c r="M233" s="14">
        <f>SUM(I233,R233,T233,V233,X233)</f>
        <v/>
      </c>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n"/>
      <c r="H234" s="15" t="inlineStr">
        <is>
          <t>Rebel Clash</t>
        </is>
      </c>
      <c r="I234" s="14" t="n"/>
      <c r="J234" s="14" t="n"/>
      <c r="K234" s="14" t="n"/>
      <c r="L234" s="14" t="n"/>
      <c r="M234" s="14">
        <f>SUM(I234,R234,T234,V234,X234)</f>
        <v/>
      </c>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n"/>
      <c r="H235" s="15" t="inlineStr">
        <is>
          <t>Perfect Order</t>
        </is>
      </c>
      <c r="I235" s="14" t="n"/>
      <c r="J235" s="14" t="n"/>
      <c r="K235" s="14" t="n"/>
      <c r="L235" s="14" t="n"/>
      <c r="M235" s="14">
        <f>SUM(I235,R235,T235,V235,X235)</f>
        <v/>
      </c>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n"/>
      <c r="H236" s="15" t="inlineStr">
        <is>
          <t>Perfect Order</t>
        </is>
      </c>
      <c r="I236" s="14" t="n"/>
      <c r="J236" s="14" t="n"/>
      <c r="K236" s="14" t="n"/>
      <c r="L236" s="14" t="n"/>
      <c r="M236" s="14">
        <f>SUM(I236,R236,T236,V236,X236)</f>
        <v/>
      </c>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n"/>
      <c r="H237" s="15" t="inlineStr">
        <is>
          <t>Ascended Heroes</t>
        </is>
      </c>
      <c r="I237" s="14" t="n"/>
      <c r="J237" s="14" t="n"/>
      <c r="K237" s="14" t="n"/>
      <c r="L237" s="14" t="n"/>
      <c r="M237" s="14">
        <f>SUM(I237,R237,T237,V237,X237)</f>
        <v/>
      </c>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4" t="n"/>
      <c r="H238" s="14" t="n"/>
      <c r="I238" s="14" t="n"/>
      <c r="J238" s="14" t="n"/>
      <c r="K238" s="14" t="n"/>
      <c r="L238" s="14" t="n"/>
      <c r="M238" s="14">
        <f>SUM(I238,R238,T238,V238,X238)</f>
        <v/>
      </c>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n"/>
      <c r="H239" s="15" t="inlineStr">
        <is>
          <t>Pokémon GO</t>
        </is>
      </c>
      <c r="I239" s="14" t="n"/>
      <c r="J239" s="14" t="n"/>
      <c r="K239" s="14" t="n"/>
      <c r="L239" s="14" t="n"/>
      <c r="M239" s="14">
        <f>SUM(I239,R239,T239,V239,X239)</f>
        <v/>
      </c>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n"/>
      <c r="H240" s="15" t="inlineStr">
        <is>
          <t>Pokémon GO</t>
        </is>
      </c>
      <c r="I240" s="14" t="n"/>
      <c r="J240" s="14" t="n"/>
      <c r="K240" s="14" t="n"/>
      <c r="L240" s="14" t="n"/>
      <c r="M240" s="14">
        <f>SUM(I240,R240,T240,V240,X240)</f>
        <v/>
      </c>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n"/>
      <c r="H241" s="15" t="inlineStr">
        <is>
          <t>Ascended Heroes</t>
        </is>
      </c>
      <c r="I241" s="14" t="n"/>
      <c r="J241" s="14" t="n"/>
      <c r="K241" s="14" t="n"/>
      <c r="L241" s="14" t="n"/>
      <c r="M241" s="14">
        <f>SUM(I241,R241,T241,V241,X241)</f>
        <v/>
      </c>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n"/>
      <c r="H242" s="15" t="inlineStr">
        <is>
          <t>Prismatic Evolutions</t>
        </is>
      </c>
      <c r="I242" s="14" t="n"/>
      <c r="J242" s="14" t="n"/>
      <c r="K242" s="14" t="n"/>
      <c r="L242" s="14" t="n"/>
      <c r="M242" s="14">
        <f>SUM(I242,R242,T242,V242,X242)</f>
        <v/>
      </c>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n"/>
      <c r="H243" s="15" t="inlineStr">
        <is>
          <t>Perfect Order</t>
        </is>
      </c>
      <c r="I243" s="14" t="n"/>
      <c r="J243" s="14" t="n"/>
      <c r="K243" s="14" t="n"/>
      <c r="L243" s="14" t="n"/>
      <c r="M243" s="14">
        <f>SUM(I243,R243,T243,V243,X243)</f>
        <v/>
      </c>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n"/>
      <c r="H244" s="15" t="inlineStr">
        <is>
          <t>Pokémon GO</t>
        </is>
      </c>
      <c r="I244" s="14" t="n"/>
      <c r="J244" s="14" t="n"/>
      <c r="K244" s="14" t="n"/>
      <c r="L244" s="14" t="n"/>
      <c r="M244" s="14">
        <f>SUM(I244,R244,T244,V244,X244)</f>
        <v/>
      </c>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4" t="n"/>
      <c r="H245" s="14" t="n"/>
      <c r="I245" s="14" t="n"/>
      <c r="J245" s="14" t="n"/>
      <c r="K245" s="14" t="n"/>
      <c r="L245" s="14" t="n"/>
      <c r="M245" s="14">
        <f>SUM(I245,R245,T245,V245,X245)</f>
        <v/>
      </c>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n"/>
      <c r="H246" s="14" t="n"/>
      <c r="I246" s="14" t="n"/>
      <c r="J246" s="14" t="n"/>
      <c r="K246" s="14" t="n"/>
      <c r="L246" s="14" t="n"/>
      <c r="M246" s="14">
        <f>SUM(I246,R246,T246,V246,X246)</f>
        <v/>
      </c>
      <c r="N246" s="14" t="inlineStr">
        <is>
          <t>Yes</t>
        </is>
      </c>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n"/>
      <c r="H247" s="15" t="inlineStr">
        <is>
          <t>Celebrations</t>
        </is>
      </c>
      <c r="I247" s="14" t="n"/>
      <c r="J247" s="14" t="n"/>
      <c r="K247" s="14" t="n"/>
      <c r="L247" s="14" t="n"/>
      <c r="M247" s="14">
        <f>SUM(I247,R247,T247,V247,X247)</f>
        <v/>
      </c>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4" t="n"/>
      <c r="H248" s="15" t="inlineStr">
        <is>
          <t>Stellar Miracle (JP)</t>
        </is>
      </c>
      <c r="I248" s="14" t="n"/>
      <c r="J248" s="14" t="n"/>
      <c r="K248" s="14" t="n"/>
      <c r="L248" s="14" t="n"/>
      <c r="M248" s="14">
        <f>SUM(I248,R248,T248,V248,X248)</f>
        <v/>
      </c>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n"/>
      <c r="H249" s="15" t="inlineStr">
        <is>
          <t>Ascended Heroes</t>
        </is>
      </c>
      <c r="I249" s="14" t="n"/>
      <c r="J249" s="14" t="n"/>
      <c r="K249" s="14" t="n"/>
      <c r="L249" s="14" t="n"/>
      <c r="M249" s="14">
        <f>SUM(I249,R249,T249,V249,X249)</f>
        <v/>
      </c>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n"/>
      <c r="H250" s="15" t="inlineStr">
        <is>
          <t>Perfect Order</t>
        </is>
      </c>
      <c r="I250" s="14" t="n"/>
      <c r="J250" s="14" t="n"/>
      <c r="K250" s="14" t="n"/>
      <c r="L250" s="14" t="n"/>
      <c r="M250" s="14">
        <f>SUM(I250,R250,T250,V250,X250)</f>
        <v/>
      </c>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n"/>
      <c r="H251" s="15" t="inlineStr">
        <is>
          <t>Ascended Heroes</t>
        </is>
      </c>
      <c r="I251" s="14" t="n"/>
      <c r="J251" s="14" t="n"/>
      <c r="K251" s="14" t="n"/>
      <c r="L251" s="14" t="n"/>
      <c r="M251" s="14">
        <f>SUM(I251,R251,T251,V251,X251)</f>
        <v/>
      </c>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n"/>
      <c r="H252" s="15" t="inlineStr">
        <is>
          <t>Perfect Order</t>
        </is>
      </c>
      <c r="I252" s="14" t="n"/>
      <c r="J252" s="14" t="n"/>
      <c r="K252" s="14" t="n"/>
      <c r="L252" s="14" t="n"/>
      <c r="M252" s="14">
        <f>SUM(I252,R252,T252,V252,X252)</f>
        <v/>
      </c>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n"/>
      <c r="H253" s="15" t="inlineStr">
        <is>
          <t>Pokémon GO</t>
        </is>
      </c>
      <c r="I253" s="14" t="n"/>
      <c r="J253" s="14" t="n"/>
      <c r="K253" s="14" t="n"/>
      <c r="L253" s="14" t="n"/>
      <c r="M253" s="14">
        <f>SUM(I253,R253,T253,V253,X253)</f>
        <v/>
      </c>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4" t="n"/>
      <c r="H254" s="15" t="inlineStr">
        <is>
          <t>Ninja Spinner (JP)</t>
        </is>
      </c>
      <c r="I254" s="14" t="n"/>
      <c r="J254" s="14" t="n"/>
      <c r="K254" s="14" t="n"/>
      <c r="L254" s="14" t="n"/>
      <c r="M254" s="14">
        <f>SUM(I254,R254,T254,V254,X254)</f>
        <v/>
      </c>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n"/>
      <c r="H255" s="15" t="inlineStr">
        <is>
          <t>Pokémon GO</t>
        </is>
      </c>
      <c r="I255" s="14" t="n"/>
      <c r="J255" s="14" t="n"/>
      <c r="K255" s="14" t="n"/>
      <c r="L255" s="14" t="n"/>
      <c r="M255" s="14">
        <f>SUM(I255,R255,T255,V255,X255)</f>
        <v/>
      </c>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n"/>
      <c r="H256" s="15" t="inlineStr">
        <is>
          <t>Perfect Order</t>
        </is>
      </c>
      <c r="I256" s="14" t="n"/>
      <c r="J256" s="14" t="n"/>
      <c r="K256" s="14" t="n"/>
      <c r="L256" s="14" t="n"/>
      <c r="M256" s="14">
        <f>SUM(I256,R256,T256,V256,X256)</f>
        <v/>
      </c>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4" t="n"/>
      <c r="H257" s="15" t="inlineStr">
        <is>
          <t>Clay Burst (KR)</t>
        </is>
      </c>
      <c r="I257" s="14" t="n"/>
      <c r="J257" s="14" t="n"/>
      <c r="K257" s="14" t="n"/>
      <c r="L257" s="14" t="n"/>
      <c r="M257" s="14">
        <f>SUM(I257,R257,T257,V257,X257)</f>
        <v/>
      </c>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n"/>
      <c r="H258" s="14" t="n"/>
      <c r="I258" s="14" t="n"/>
      <c r="J258" s="14" t="n"/>
      <c r="K258" s="14" t="n"/>
      <c r="L258" s="14" t="n"/>
      <c r="M258" s="14">
        <f>SUM(I258,R258,T258,V258,X258)</f>
        <v/>
      </c>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n"/>
      <c r="H259" s="14" t="n"/>
      <c r="I259" s="14" t="n"/>
      <c r="J259" s="14" t="n"/>
      <c r="K259" s="14" t="n"/>
      <c r="L259" s="14" t="n"/>
      <c r="M259" s="14">
        <f>SUM(I259,R259,T259,V259,X259)</f>
        <v/>
      </c>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n"/>
      <c r="H260" s="15" t="inlineStr">
        <is>
          <t>Perfect Order</t>
        </is>
      </c>
      <c r="I260" s="14" t="n"/>
      <c r="J260" s="14" t="n"/>
      <c r="K260" s="14" t="n"/>
      <c r="L260" s="14" t="n"/>
      <c r="M260" s="14">
        <f>SUM(I260,R260,T260,V260,X260)</f>
        <v/>
      </c>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n"/>
      <c r="H261" s="14" t="n"/>
      <c r="I261" s="14" t="n"/>
      <c r="J261" s="14" t="n"/>
      <c r="K261" s="14" t="n"/>
      <c r="L261" s="14" t="n"/>
      <c r="M261" s="14">
        <f>SUM(I261,R261,T261,V261,X261)</f>
        <v/>
      </c>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n"/>
      <c r="H262" s="15" t="inlineStr">
        <is>
          <t>Pokémon GO</t>
        </is>
      </c>
      <c r="I262" s="14" t="n"/>
      <c r="J262" s="14" t="n"/>
      <c r="K262" s="14" t="n"/>
      <c r="L262" s="14" t="n"/>
      <c r="M262" s="14">
        <f>SUM(I262,R262,T262,V262,X262)</f>
        <v/>
      </c>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n"/>
      <c r="H263" s="15" t="inlineStr">
        <is>
          <t>Ascended Heroes</t>
        </is>
      </c>
      <c r="I263" s="14" t="n"/>
      <c r="J263" s="14" t="n"/>
      <c r="K263" s="14" t="n"/>
      <c r="L263" s="14" t="n"/>
      <c r="M263" s="14">
        <f>SUM(I263,R263,T263,V263,X263)</f>
        <v/>
      </c>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n"/>
      <c r="H264" s="15" t="inlineStr">
        <is>
          <t>Pokémon GO</t>
        </is>
      </c>
      <c r="I264" s="14" t="n"/>
      <c r="J264" s="14" t="n"/>
      <c r="K264" s="14" t="n"/>
      <c r="L264" s="14" t="n"/>
      <c r="M264" s="14">
        <f>SUM(I264,R264,T264,V264,X264)</f>
        <v/>
      </c>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n"/>
      <c r="H265" s="15" t="inlineStr">
        <is>
          <t>Ascended Heroes</t>
        </is>
      </c>
      <c r="I265" s="14" t="n"/>
      <c r="J265" s="14" t="n"/>
      <c r="K265" s="14" t="n"/>
      <c r="L265" s="14" t="n"/>
      <c r="M265" s="14">
        <f>SUM(I265,R265,T265,V265,X265)</f>
        <v/>
      </c>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n"/>
      <c r="H266" s="15" t="inlineStr">
        <is>
          <t>Pokémon GO</t>
        </is>
      </c>
      <c r="I266" s="14" t="n"/>
      <c r="J266" s="14" t="n"/>
      <c r="K266" s="14" t="n"/>
      <c r="L266" s="14" t="n"/>
      <c r="M266" s="14">
        <f>SUM(I266,R266,T266,V266,X266)</f>
        <v/>
      </c>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n"/>
      <c r="H267" s="15" t="inlineStr">
        <is>
          <t>Ascended Heroes</t>
        </is>
      </c>
      <c r="I267" s="14" t="n"/>
      <c r="J267" s="14" t="n"/>
      <c r="K267" s="14" t="n"/>
      <c r="L267" s="14" t="n"/>
      <c r="M267" s="14">
        <f>SUM(I267,R267,T267,V267,X267)</f>
        <v/>
      </c>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n"/>
      <c r="H268" s="15" t="inlineStr">
        <is>
          <t>Temporal Forces</t>
        </is>
      </c>
      <c r="I268" s="14" t="n"/>
      <c r="J268" s="14" t="n"/>
      <c r="K268" s="14" t="n"/>
      <c r="L268" s="14" t="n"/>
      <c r="M268" s="14">
        <f>SUM(I268,R268,T268,V268,X268)</f>
        <v/>
      </c>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n"/>
      <c r="H269" s="15" t="inlineStr">
        <is>
          <t>Ascended Heroes</t>
        </is>
      </c>
      <c r="I269" s="14" t="n"/>
      <c r="J269" s="14" t="n"/>
      <c r="K269" s="14" t="n"/>
      <c r="L269" s="14" t="n"/>
      <c r="M269" s="14">
        <f>SUM(I269,R269,T269,V269,X269)</f>
        <v/>
      </c>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n"/>
      <c r="H270" s="15" t="inlineStr">
        <is>
          <t>Temporal Forces</t>
        </is>
      </c>
      <c r="I270" s="14" t="n"/>
      <c r="J270" s="14" t="n"/>
      <c r="K270" s="14" t="n"/>
      <c r="L270" s="14" t="n"/>
      <c r="M270" s="14">
        <f>SUM(I270,R270,T270,V270,X270)</f>
        <v/>
      </c>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n"/>
      <c r="H271" s="15" t="inlineStr">
        <is>
          <t>Ascended Heroes</t>
        </is>
      </c>
      <c r="I271" s="14" t="n"/>
      <c r="J271" s="14" t="n"/>
      <c r="K271" s="14" t="n"/>
      <c r="L271" s="14" t="n"/>
      <c r="M271" s="14">
        <f>SUM(I271,R271,T271,V271,X271)</f>
        <v/>
      </c>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n"/>
      <c r="H272" s="15" t="inlineStr">
        <is>
          <t>Shining Fates</t>
        </is>
      </c>
      <c r="I272" s="14" t="n"/>
      <c r="J272" s="14" t="n"/>
      <c r="K272" s="14" t="n"/>
      <c r="L272" s="14" t="n"/>
      <c r="M272" s="14">
        <f>SUM(I272,R272,T272,V272,X272)</f>
        <v/>
      </c>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n"/>
      <c r="H273" s="15" t="inlineStr">
        <is>
          <t>Ascended Heroes</t>
        </is>
      </c>
      <c r="I273" s="14" t="n"/>
      <c r="J273" s="14" t="n"/>
      <c r="K273" s="14" t="n"/>
      <c r="L273" s="14" t="n"/>
      <c r="M273" s="14">
        <f>SUM(I273,R273,T273,V273,X273)</f>
        <v/>
      </c>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n"/>
      <c r="H274" s="15" t="inlineStr">
        <is>
          <t>Shining Fates</t>
        </is>
      </c>
      <c r="I274" s="14" t="n"/>
      <c r="J274" s="14" t="n"/>
      <c r="K274" s="14" t="n"/>
      <c r="L274" s="14" t="n"/>
      <c r="M274" s="14">
        <f>SUM(I274,R274,T274,V274,X274)</f>
        <v/>
      </c>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n"/>
      <c r="H275" s="15" t="inlineStr">
        <is>
          <t>Ascended Heroes</t>
        </is>
      </c>
      <c r="I275" s="14" t="n"/>
      <c r="J275" s="14" t="n"/>
      <c r="K275" s="14" t="n"/>
      <c r="L275" s="14" t="n"/>
      <c r="M275" s="14">
        <f>SUM(I275,R275,T275,V275,X275)</f>
        <v/>
      </c>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n"/>
      <c r="H276" s="15" t="inlineStr">
        <is>
          <t>Pokémon GO</t>
        </is>
      </c>
      <c r="I276" s="14" t="n"/>
      <c r="J276" s="14" t="n"/>
      <c r="K276" s="14" t="n"/>
      <c r="L276" s="14" t="n"/>
      <c r="M276" s="14">
        <f>SUM(I276,R276,T276,V276,X276)</f>
        <v/>
      </c>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n"/>
      <c r="H277" s="15" t="inlineStr">
        <is>
          <t>Ascended Heroes</t>
        </is>
      </c>
      <c r="I277" s="14" t="n"/>
      <c r="J277" s="14" t="n"/>
      <c r="K277" s="14" t="n"/>
      <c r="L277" s="14" t="n"/>
      <c r="M277" s="14">
        <f>SUM(I277,R277,T277,V277,X277)</f>
        <v/>
      </c>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n"/>
      <c r="H278" s="15" t="inlineStr">
        <is>
          <t>Pokémon GO</t>
        </is>
      </c>
      <c r="I278" s="14" t="n"/>
      <c r="J278" s="14" t="n"/>
      <c r="K278" s="14" t="n"/>
      <c r="L278" s="14" t="n"/>
      <c r="M278" s="14">
        <f>SUM(I278,R278,T278,V278,X278)</f>
        <v/>
      </c>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n"/>
      <c r="H279" s="15" t="inlineStr">
        <is>
          <t>Ascended Heroes</t>
        </is>
      </c>
      <c r="I279" s="14" t="n"/>
      <c r="J279" s="14" t="n"/>
      <c r="K279" s="14" t="n"/>
      <c r="L279" s="14" t="n"/>
      <c r="M279" s="14">
        <f>SUM(I279,R279,T279,V279,X279)</f>
        <v/>
      </c>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n"/>
      <c r="H280" s="14" t="n"/>
      <c r="I280" s="14" t="n"/>
      <c r="J280" s="14" t="n"/>
      <c r="K280" s="14" t="n"/>
      <c r="L280" s="14" t="n"/>
      <c r="M280" s="14">
        <f>SUM(I280,R280,T280,V280,X280)</f>
        <v/>
      </c>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n"/>
      <c r="H281" s="15" t="inlineStr">
        <is>
          <t>Surging Sparks</t>
        </is>
      </c>
      <c r="I281" s="14" t="n"/>
      <c r="J281" s="14" t="n"/>
      <c r="K281" s="14" t="n"/>
      <c r="L281" s="14" t="n"/>
      <c r="M281" s="14">
        <f>SUM(I281,R281,T281,V281,X281)</f>
        <v/>
      </c>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n"/>
      <c r="H282" s="15" t="inlineStr">
        <is>
          <t>Ascended Heroes</t>
        </is>
      </c>
      <c r="I282" s="14" t="n"/>
      <c r="J282" s="14" t="n"/>
      <c r="K282" s="14" t="n"/>
      <c r="L282" s="14" t="n"/>
      <c r="M282" s="14">
        <f>SUM(I282,R282,T282,V282,X282)</f>
        <v/>
      </c>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n"/>
      <c r="H283" s="15" t="inlineStr">
        <is>
          <t>Surging Sparks</t>
        </is>
      </c>
      <c r="I283" s="14" t="n"/>
      <c r="J283" s="14" t="n"/>
      <c r="K283" s="14" t="n"/>
      <c r="L283" s="14" t="n"/>
      <c r="M283" s="14">
        <f>SUM(I283,R283,T283,V283,X283)</f>
        <v/>
      </c>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4" t="n"/>
      <c r="H284" s="15" t="inlineStr">
        <is>
          <t>Battle Partners (KR)</t>
        </is>
      </c>
      <c r="I284" s="14" t="n"/>
      <c r="J284" s="14" t="n"/>
      <c r="K284" s="14" t="n"/>
      <c r="L284" s="14" t="n"/>
      <c r="M284" s="14">
        <f>SUM(I284,R284,T284,V284,X284)</f>
        <v/>
      </c>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n"/>
      <c r="H285" s="15" t="inlineStr">
        <is>
          <t>Surging Sparks</t>
        </is>
      </c>
      <c r="I285" s="14" t="n"/>
      <c r="J285" s="14" t="n"/>
      <c r="K285" s="14" t="n"/>
      <c r="L285" s="14" t="n"/>
      <c r="M285" s="14">
        <f>SUM(I285,R285,T285,V285,X285)</f>
        <v/>
      </c>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4" t="n"/>
      <c r="H286" s="15" t="inlineStr">
        <is>
          <t>Crimson Haze (KR)</t>
        </is>
      </c>
      <c r="I286" s="14" t="n"/>
      <c r="J286" s="14" t="n"/>
      <c r="K286" s="14" t="n"/>
      <c r="L286" s="14" t="n"/>
      <c r="M286" s="14">
        <f>SUM(I286,R286,T286,V286,X286)</f>
        <v/>
      </c>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n"/>
      <c r="H287" s="15" t="inlineStr">
        <is>
          <t>Surging Sparks</t>
        </is>
      </c>
      <c r="I287" s="14" t="n"/>
      <c r="J287" s="14" t="n"/>
      <c r="K287" s="14" t="n"/>
      <c r="L287" s="14" t="n"/>
      <c r="M287" s="14">
        <f>SUM(I287,R287,T287,V287,X287)</f>
        <v/>
      </c>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n"/>
      <c r="H288" s="15" t="inlineStr">
        <is>
          <t>Ascended Heroes</t>
        </is>
      </c>
      <c r="I288" s="14" t="n"/>
      <c r="J288" s="14" t="n"/>
      <c r="K288" s="14" t="n"/>
      <c r="L288" s="14" t="n"/>
      <c r="M288" s="14">
        <f>SUM(I288,R288,T288,V288,X288)</f>
        <v/>
      </c>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n"/>
      <c r="H289" s="14" t="n"/>
      <c r="I289" s="14" t="n"/>
      <c r="J289" s="14" t="n"/>
      <c r="K289" s="14" t="n"/>
      <c r="L289" s="14" t="n"/>
      <c r="M289" s="14">
        <f>SUM(I289,R289,T289,V289,X289)</f>
        <v/>
      </c>
      <c r="N289" s="14" t="inlineStr">
        <is>
          <t>Yes</t>
        </is>
      </c>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n"/>
      <c r="H290" s="15" t="inlineStr">
        <is>
          <t>151</t>
        </is>
      </c>
      <c r="I290" s="14" t="n"/>
      <c r="J290" s="14" t="n"/>
      <c r="K290" s="14" t="n"/>
      <c r="L290" s="14" t="n"/>
      <c r="M290" s="14">
        <f>SUM(I290,R290,T290,V290,X290)</f>
        <v/>
      </c>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4" t="n"/>
      <c r="H291" s="14" t="n"/>
      <c r="I291" s="14" t="n"/>
      <c r="J291" s="14" t="n"/>
      <c r="K291" s="14" t="n"/>
      <c r="L291" s="14" t="n"/>
      <c r="M291" s="14">
        <f>SUM(I291,R291,T291,V291,X291)</f>
        <v/>
      </c>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n"/>
      <c r="H292" s="15" t="inlineStr">
        <is>
          <t>Prismatic Evolutions</t>
        </is>
      </c>
      <c r="I292" s="14" t="n"/>
      <c r="J292" s="14" t="n"/>
      <c r="K292" s="14" t="n"/>
      <c r="L292" s="14" t="n"/>
      <c r="M292" s="14">
        <f>SUM(I292,R292,T292,V292,X292)</f>
        <v/>
      </c>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n"/>
      <c r="H293" s="15" t="inlineStr">
        <is>
          <t>Ascended Heroes</t>
        </is>
      </c>
      <c r="I293" s="14" t="n"/>
      <c r="J293" s="14" t="n"/>
      <c r="K293" s="14" t="n"/>
      <c r="L293" s="14" t="n"/>
      <c r="M293" s="14">
        <f>SUM(I293,R293,T293,V293,X293)</f>
        <v/>
      </c>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n"/>
      <c r="H294" s="15" t="inlineStr">
        <is>
          <t>Destined Rivals</t>
        </is>
      </c>
      <c r="I294" s="14" t="n"/>
      <c r="J294" s="14" t="n"/>
      <c r="K294" s="14" t="n"/>
      <c r="L294" s="14" t="n"/>
      <c r="M294" s="14">
        <f>SUM(I294,R294,T294,V294,X294)</f>
        <v/>
      </c>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n"/>
      <c r="H295" s="15" t="inlineStr">
        <is>
          <t>Ascended Heroes</t>
        </is>
      </c>
      <c r="I295" s="14" t="n"/>
      <c r="J295" s="14" t="n"/>
      <c r="K295" s="14" t="n"/>
      <c r="L295" s="14" t="n"/>
      <c r="M295" s="14">
        <f>SUM(I295,R295,T295,V295,X295)</f>
        <v/>
      </c>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n"/>
      <c r="H296" s="15" t="inlineStr">
        <is>
          <t>Paradox Rift</t>
        </is>
      </c>
      <c r="I296" s="14" t="n"/>
      <c r="J296" s="14" t="n"/>
      <c r="K296" s="14" t="n"/>
      <c r="L296" s="14" t="n"/>
      <c r="M296" s="14">
        <f>SUM(I296,R296,T296,V296,X296)</f>
        <v/>
      </c>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n"/>
      <c r="H297" s="15" t="inlineStr">
        <is>
          <t>Ascended Heroes</t>
        </is>
      </c>
      <c r="I297" s="14" t="n"/>
      <c r="J297" s="14" t="n"/>
      <c r="K297" s="14" t="n"/>
      <c r="L297" s="14" t="n"/>
      <c r="M297" s="14">
        <f>SUM(I297,R297,T297,V297,X297)</f>
        <v/>
      </c>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n"/>
      <c r="H298" s="15" t="inlineStr">
        <is>
          <t>Phantasmal Flames</t>
        </is>
      </c>
      <c r="I298" s="14" t="n"/>
      <c r="J298" s="14" t="n"/>
      <c r="K298" s="14" t="n"/>
      <c r="L298" s="14" t="n"/>
      <c r="M298" s="14">
        <f>SUM(I298,R298,T298,V298,X298)</f>
        <v/>
      </c>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n"/>
      <c r="H299" s="15" t="inlineStr">
        <is>
          <t>Ascended Heroes</t>
        </is>
      </c>
      <c r="I299" s="14" t="n"/>
      <c r="J299" s="14" t="n"/>
      <c r="K299" s="14" t="n"/>
      <c r="L299" s="14" t="n"/>
      <c r="M299" s="14">
        <f>SUM(I299,R299,T299,V299,X299)</f>
        <v/>
      </c>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n"/>
      <c r="H300" s="14" t="n"/>
      <c r="I300" s="14" t="n"/>
      <c r="J300" s="14" t="n"/>
      <c r="K300" s="14" t="n"/>
      <c r="L300" s="14" t="n"/>
      <c r="M300" s="14">
        <f>SUM(I300,R300,T300,V300,X300)</f>
        <v/>
      </c>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n"/>
      <c r="H301" s="15" t="inlineStr">
        <is>
          <t>Ascended Heroes</t>
        </is>
      </c>
      <c r="I301" s="14" t="n"/>
      <c r="J301" s="14" t="n"/>
      <c r="K301" s="14" t="n"/>
      <c r="L301" s="14" t="n"/>
      <c r="M301" s="14">
        <f>SUM(I301,R301,T301,V301,X301)</f>
        <v/>
      </c>
      <c r="N301" s="14" t="inlineStr">
        <is>
          <t>Yes</t>
        </is>
      </c>
      <c r="O301" s="14" t="inlineStr">
        <is>
          <t>Ascended Heroes - Stunfisk ex - Double Silver Star - Ultra Rare</t>
        </is>
      </c>
      <c r="P301" s="14" t="n"/>
      <c r="Q301" s="14" t="n"/>
      <c r="R301" s="14" t="n"/>
      <c r="S301" s="14" t="n"/>
      <c r="T301" s="14" t="n"/>
      <c r="U301" s="14" t="n"/>
      <c r="V301" s="14" t="n"/>
      <c r="W301" s="14" t="n"/>
      <c r="X301" s="14" t="n"/>
      <c r="Y301" s="14" t="n"/>
      <c r="Z301" s="14" t="n"/>
      <c r="AA301" s="14" t="n"/>
      <c r="AB301" s="14" t="n"/>
      <c r="AC301" s="14" t="n"/>
      <c r="AD301" s="14" t="n"/>
      <c r="AE301" s="14" t="n"/>
      <c r="AF301" s="14" t="n"/>
      <c r="AG301" s="14"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4" t="n"/>
      <c r="H302" s="14" t="n"/>
      <c r="I302" s="14" t="n"/>
      <c r="J302" s="14" t="n"/>
      <c r="K302" s="14" t="n"/>
      <c r="L302" s="14" t="n"/>
      <c r="M302" s="14">
        <f>SUM(I302,R302,T302,V302,X302)</f>
        <v/>
      </c>
      <c r="N302" s="14" t="inlineStr">
        <is>
          <t>No</t>
        </is>
      </c>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4" t="n"/>
      <c r="H303" s="15" t="inlineStr">
        <is>
          <t>Mask of Change (KR)</t>
        </is>
      </c>
      <c r="I303" s="14" t="n"/>
      <c r="J303" s="14" t="n"/>
      <c r="K303" s="14" t="n"/>
      <c r="L303" s="14" t="n"/>
      <c r="M303" s="14">
        <f>SUM(I303,R303,T303,V303,X303)</f>
        <v/>
      </c>
      <c r="N303" s="14" t="inlineStr">
        <is>
          <t>No</t>
        </is>
      </c>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n"/>
      <c r="H304" s="15" t="inlineStr">
        <is>
          <t>Violet ex (JP)</t>
        </is>
      </c>
      <c r="I304" s="14" t="n"/>
      <c r="J304" s="14" t="n"/>
      <c r="K304" s="14" t="n"/>
      <c r="L304" s="14" t="n"/>
      <c r="M304" s="14">
        <f>SUM(I304,R304,T304,V304,X304)</f>
        <v/>
      </c>
      <c r="N304" s="14" t="inlineStr">
        <is>
          <t>No</t>
        </is>
      </c>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n"/>
      <c r="H305" s="15" t="inlineStr">
        <is>
          <t>Gem Pack Vol. 2 (CN)</t>
        </is>
      </c>
      <c r="I305" s="14" t="n"/>
      <c r="J305" s="14" t="n"/>
      <c r="K305" s="14" t="n"/>
      <c r="L305" s="14" t="n"/>
      <c r="M305" s="14">
        <f>SUM(I305,R305,T305,V305,X305)</f>
        <v/>
      </c>
      <c r="N305" s="14" t="inlineStr">
        <is>
          <t>No</t>
        </is>
      </c>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n"/>
      <c r="H306" s="15" t="inlineStr">
        <is>
          <t>Journey Together</t>
        </is>
      </c>
      <c r="I306" s="14" t="n"/>
      <c r="J306" s="14" t="n"/>
      <c r="K306" s="14" t="n"/>
      <c r="L306" s="14" t="n"/>
      <c r="M306" s="14">
        <f>SUM(I306,R306,T306,V306,X306)</f>
        <v/>
      </c>
      <c r="N306" s="14" t="inlineStr">
        <is>
          <t>Yes</t>
        </is>
      </c>
      <c r="O306" s="14" t="inlineStr">
        <is>
          <t>Journey Together - Volcanion ex - Double Black Star - Double Rare</t>
        </is>
      </c>
      <c r="P306" s="14" t="n"/>
      <c r="Q306" s="14" t="n"/>
      <c r="R306" s="14" t="n"/>
      <c r="S306" s="14" t="n"/>
      <c r="T306" s="14" t="n"/>
      <c r="U306" s="14" t="n"/>
      <c r="V306" s="14" t="n"/>
      <c r="W306" s="14" t="n"/>
      <c r="X306" s="14" t="n"/>
      <c r="Y306" s="14" t="n"/>
      <c r="Z306" s="14" t="n"/>
      <c r="AA306" s="14" t="n"/>
      <c r="AB306" s="14" t="n"/>
      <c r="AC306" s="14" t="n"/>
      <c r="AD306" s="14" t="n"/>
      <c r="AE306" s="14" t="n"/>
      <c r="AF306" s="14" t="n"/>
      <c r="AG306" s="14"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n"/>
      <c r="H307" s="15" t="inlineStr">
        <is>
          <t>Phantasmal Flames</t>
        </is>
      </c>
      <c r="I307" s="14" t="n"/>
      <c r="J307" s="14" t="n"/>
      <c r="K307" s="14" t="n"/>
      <c r="L307" s="14" t="n"/>
      <c r="M307" s="14">
        <f>SUM(I307,R307,T307,V307,X307)</f>
        <v/>
      </c>
      <c r="N307" s="14" t="inlineStr">
        <is>
          <t>Yes</t>
        </is>
      </c>
      <c r="O307" s="14" t="inlineStr">
        <is>
          <t>Phantasmal Flames - Rotom ex - Double Black Star- Double Rare</t>
        </is>
      </c>
      <c r="P307" s="14" t="n"/>
      <c r="Q307" s="15" t="inlineStr">
        <is>
          <t>Mega Evolution</t>
        </is>
      </c>
      <c r="R307" s="14" t="n"/>
      <c r="S307" s="14" t="n"/>
      <c r="T307" s="14" t="n"/>
      <c r="U307" s="14" t="n"/>
      <c r="V307" s="14" t="n"/>
      <c r="W307" s="14" t="n"/>
      <c r="X307" s="14" t="n"/>
      <c r="Y307" s="14" t="n"/>
      <c r="Z307" s="14" t="n"/>
      <c r="AA307" s="14" t="n"/>
      <c r="AB307" s="14" t="n"/>
      <c r="AC307" s="14" t="n"/>
      <c r="AD307" s="14" t="n"/>
      <c r="AE307" s="14" t="n"/>
      <c r="AF307" s="14" t="n"/>
      <c r="AG307" s="14"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n"/>
      <c r="H308" s="15" t="inlineStr">
        <is>
          <t>Journey Together</t>
        </is>
      </c>
      <c r="I308" s="14" t="n"/>
      <c r="J308" s="14" t="n"/>
      <c r="K308" s="14" t="n"/>
      <c r="L308" s="14" t="n"/>
      <c r="M308" s="14">
        <f>SUM(I308,R308,T308,V308,X308)</f>
        <v/>
      </c>
      <c r="N308" s="14" t="inlineStr">
        <is>
          <t>Yes</t>
        </is>
      </c>
      <c r="O308" s="14" t="inlineStr">
        <is>
          <t>Journey Together - Trainer - Ruffian - Double Silver Star - Ultra Rare</t>
        </is>
      </c>
      <c r="P308" s="14" t="n"/>
      <c r="Q308" s="14" t="n"/>
      <c r="R308" s="14" t="n"/>
      <c r="S308" s="14" t="n"/>
      <c r="T308" s="14" t="n"/>
      <c r="U308" s="14" t="n"/>
      <c r="V308" s="14" t="n"/>
      <c r="W308" s="14" t="n"/>
      <c r="X308" s="14" t="n"/>
      <c r="Y308" s="14" t="n"/>
      <c r="Z308" s="14" t="n"/>
      <c r="AA308" s="14" t="n"/>
      <c r="AB308" s="14" t="n"/>
      <c r="AC308" s="14" t="n"/>
      <c r="AD308" s="14" t="n"/>
      <c r="AE308" s="14" t="n"/>
      <c r="AF308" s="14" t="n"/>
      <c r="AG308" s="14"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n"/>
      <c r="H309" s="15" t="inlineStr">
        <is>
          <t>Phantasmal Flames</t>
        </is>
      </c>
      <c r="I309" s="14" t="n"/>
      <c r="J309" s="14" t="n"/>
      <c r="K309" s="14" t="n"/>
      <c r="L309" s="14" t="n"/>
      <c r="M309" s="14">
        <f>SUM(I309,R309,T309,V309,X309)</f>
        <v/>
      </c>
      <c r="N309" s="14" t="inlineStr">
        <is>
          <t>Yes</t>
        </is>
      </c>
      <c r="O309" s="14" t="inlineStr">
        <is>
          <t>Phantasmal Flames - Mismagius ex - Double Black Star - Double Rare</t>
        </is>
      </c>
      <c r="P309" s="14" t="n"/>
      <c r="Q309" s="14" t="n"/>
      <c r="R309" s="14" t="n"/>
      <c r="S309" s="14" t="n"/>
      <c r="T309" s="14" t="n"/>
      <c r="U309" s="14" t="n"/>
      <c r="V309" s="14" t="n"/>
      <c r="W309" s="14" t="n"/>
      <c r="X309" s="14" t="n"/>
      <c r="Y309" s="14" t="n"/>
      <c r="Z309" s="14" t="n"/>
      <c r="AA309" s="14" t="n"/>
      <c r="AB309" s="14" t="n"/>
      <c r="AC309" s="14" t="n"/>
      <c r="AD309" s="14" t="n"/>
      <c r="AE309" s="14" t="n"/>
      <c r="AF309" s="14" t="n"/>
      <c r="AG309" s="14"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4" t="n"/>
      <c r="H310" s="15" t="inlineStr">
        <is>
          <t>Cyber Judge (JP)</t>
        </is>
      </c>
      <c r="I310" s="14" t="n"/>
      <c r="J310" s="14" t="n"/>
      <c r="K310" s="14" t="n"/>
      <c r="L310" s="14" t="n"/>
      <c r="M310" s="14">
        <f>SUM(I310,R310,T310,V310,X310)</f>
        <v/>
      </c>
      <c r="N310" s="14" t="inlineStr">
        <is>
          <t>Yes</t>
        </is>
      </c>
      <c r="O310" s="14" t="inlineStr">
        <is>
          <t>Cyber Judge - Incineroar ex - SR - Super Rare</t>
        </is>
      </c>
      <c r="P310" s="14" t="n"/>
      <c r="Q310" s="14" t="n"/>
      <c r="R310" s="14" t="n"/>
      <c r="S310" s="14" t="n"/>
      <c r="T310" s="14" t="n"/>
      <c r="U310" s="14" t="n"/>
      <c r="V310" s="14" t="n"/>
      <c r="W310" s="14" t="n"/>
      <c r="X310" s="14" t="n"/>
      <c r="Y310" s="14" t="n"/>
      <c r="Z310" s="14" t="n"/>
      <c r="AA310" s="14" t="n"/>
      <c r="AB310" s="14" t="n"/>
      <c r="AC310" s="14" t="n"/>
      <c r="AD310" s="14" t="n"/>
      <c r="AE310" s="14" t="n"/>
      <c r="AF310" s="14" t="n"/>
      <c r="AG310" s="14"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n"/>
      <c r="H311" s="15" t="inlineStr">
        <is>
          <t>Paldea Evolved</t>
        </is>
      </c>
      <c r="I311" s="14" t="n"/>
      <c r="J311" s="14" t="n"/>
      <c r="K311" s="14" t="n"/>
      <c r="L311" s="14" t="n"/>
      <c r="M311" s="14">
        <f>SUM(I311,R311,T311,V311,X311)</f>
        <v/>
      </c>
      <c r="N311" s="14" t="inlineStr">
        <is>
          <t>No</t>
        </is>
      </c>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n"/>
      <c r="H312" s="15" t="inlineStr">
        <is>
          <t>Phantasmal Flames</t>
        </is>
      </c>
      <c r="I312" s="14" t="n"/>
      <c r="J312" s="14" t="n"/>
      <c r="K312" s="14" t="n"/>
      <c r="L312" s="14" t="n"/>
      <c r="M312" s="14">
        <f>SUM(I312,R312,T312,V312,X312)</f>
        <v/>
      </c>
      <c r="N312" s="14" t="inlineStr">
        <is>
          <t>Yes</t>
        </is>
      </c>
      <c r="O312" s="14" t="inlineStr">
        <is>
          <t>Phantasmal Flames - Mega Lopunny ex - Double Black Star - Double Rare</t>
        </is>
      </c>
      <c r="P312" s="14" t="n"/>
      <c r="Q312" s="14" t="n"/>
      <c r="R312" s="14" t="n"/>
      <c r="S312" s="14" t="n"/>
      <c r="T312" s="14" t="n"/>
      <c r="U312" s="14" t="n"/>
      <c r="V312" s="14" t="n"/>
      <c r="W312" s="14" t="n"/>
      <c r="X312" s="14" t="n"/>
      <c r="Y312" s="14" t="n"/>
      <c r="Z312" s="14" t="n"/>
      <c r="AA312" s="14" t="inlineStr">
        <is>
          <t>Hits</t>
        </is>
      </c>
      <c r="AB312" s="14" t="n"/>
      <c r="AC312" s="14" t="n"/>
      <c r="AD312" s="14" t="n"/>
      <c r="AE312" s="14" t="n"/>
      <c r="AF312" s="14" t="n"/>
      <c r="AG312" s="14"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n"/>
      <c r="H313" s="15" t="inlineStr">
        <is>
          <t>Twilight Masquerade</t>
        </is>
      </c>
      <c r="I313" s="14" t="n"/>
      <c r="J313" s="14" t="n"/>
      <c r="K313" s="14" t="n"/>
      <c r="L313" s="14" t="n"/>
      <c r="M313" s="14">
        <f>SUM(I313,R313,T313,V313,X313)</f>
        <v/>
      </c>
      <c r="N313" s="14" t="inlineStr">
        <is>
          <t>Yes</t>
        </is>
      </c>
      <c r="O313" s="14" t="inlineStr">
        <is>
          <t>Surging Sparks - Feebas - Single Gold Star - Illustration Rare</t>
        </is>
      </c>
      <c r="P313" s="14" t="n"/>
      <c r="Q313" s="15" t="inlineStr">
        <is>
          <t>Surging Sparks</t>
        </is>
      </c>
      <c r="R313" s="14" t="n"/>
      <c r="S313" s="14" t="n"/>
      <c r="T313" s="14" t="n"/>
      <c r="U313" s="14" t="n"/>
      <c r="V313" s="14" t="n"/>
      <c r="W313" s="14" t="n"/>
      <c r="X313" s="14" t="n"/>
      <c r="Y313" s="14" t="n"/>
      <c r="Z313" s="14" t="n"/>
      <c r="AA313" s="14" t="n"/>
      <c r="AB313" s="14" t="n"/>
      <c r="AC313" s="14" t="n"/>
      <c r="AD313" s="14" t="n"/>
      <c r="AE313" s="14" t="n"/>
      <c r="AF313" s="14" t="n"/>
      <c r="AG313" s="14"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n"/>
      <c r="H314" s="15" t="inlineStr">
        <is>
          <t>Twilight Masquerade</t>
        </is>
      </c>
      <c r="I314" s="14" t="n"/>
      <c r="J314" s="14" t="n"/>
      <c r="K314" s="14" t="n"/>
      <c r="L314" s="14" t="n"/>
      <c r="M314" s="14">
        <f>SUM(I314,R314,T314,V314,X314)</f>
        <v/>
      </c>
      <c r="N314" s="14" t="inlineStr">
        <is>
          <t>No</t>
        </is>
      </c>
      <c r="O314" s="14" t="n"/>
      <c r="P314" s="14" t="n"/>
      <c r="Q314" s="15" t="inlineStr">
        <is>
          <t>Surging Sparks</t>
        </is>
      </c>
      <c r="R314" s="14" t="n"/>
      <c r="S314" s="14" t="n"/>
      <c r="T314" s="14" t="n"/>
      <c r="U314" s="14" t="n"/>
      <c r="V314" s="14" t="n"/>
      <c r="W314" s="14" t="n"/>
      <c r="X314" s="14" t="n"/>
      <c r="Y314" s="14" t="n"/>
      <c r="Z314" s="14" t="n"/>
      <c r="AA314" s="14" t="inlineStr">
        <is>
          <t>Hits</t>
        </is>
      </c>
      <c r="AB314" s="14" t="n"/>
      <c r="AC314" s="14" t="n"/>
      <c r="AD314" s="14" t="n"/>
      <c r="AE314" s="14" t="n"/>
      <c r="AF314" s="14" t="n"/>
      <c r="AG314" s="14"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n"/>
      <c r="H315" s="15" t="inlineStr">
        <is>
          <t>Paradox Rift</t>
        </is>
      </c>
      <c r="I315" s="14" t="n"/>
      <c r="J315" s="14" t="n"/>
      <c r="K315" s="14" t="n"/>
      <c r="L315" s="14" t="n"/>
      <c r="M315" s="14">
        <f>SUM(I315,R315,T315,V315,X315)</f>
        <v/>
      </c>
      <c r="N315" s="14" t="inlineStr">
        <is>
          <t>Yes</t>
        </is>
      </c>
      <c r="O315" s="14" t="inlineStr">
        <is>
          <t>Paradox Rift - Tsareena ex - Double Black Star - Double Rare</t>
        </is>
      </c>
      <c r="P315" s="14" t="n"/>
      <c r="Q315" s="14" t="n"/>
      <c r="R315" s="14" t="n"/>
      <c r="S315" s="14" t="n"/>
      <c r="T315" s="14" t="n"/>
      <c r="U315" s="14" t="n"/>
      <c r="V315" s="14" t="n"/>
      <c r="W315" s="14" t="n"/>
      <c r="X315" s="14" t="n"/>
      <c r="Y315" s="14" t="n"/>
      <c r="Z315" s="14" t="n"/>
      <c r="AA315" s="14" t="n"/>
      <c r="AB315" s="14" t="n"/>
      <c r="AC315" s="14" t="n"/>
      <c r="AD315" s="14" t="n"/>
      <c r="AE315" s="14" t="n"/>
      <c r="AF315" s="14" t="n"/>
      <c r="AG315" s="14"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4" t="n"/>
      <c r="H316" s="15" t="inlineStr">
        <is>
          <t>Mega Evolution</t>
        </is>
      </c>
      <c r="I316" s="14" t="n"/>
      <c r="J316" s="14" t="n"/>
      <c r="K316" s="14" t="n"/>
      <c r="L316" s="14" t="n"/>
      <c r="M316" s="14">
        <f>SUM(I316,R316,T316,V316,X316)</f>
        <v/>
      </c>
      <c r="N316" s="14" t="inlineStr">
        <is>
          <t>Yes</t>
        </is>
      </c>
      <c r="O316" s="14" t="inlineStr">
        <is>
          <t>Mega Kangakhan ex - Black Star Promo , Mega Evolution - Spearow - Single Gold Star - Illustration Rare,</t>
        </is>
      </c>
      <c r="P316" s="14" t="n"/>
      <c r="Q316" s="15" t="inlineStr">
        <is>
          <t>Destined Rivals</t>
        </is>
      </c>
      <c r="R316" s="14" t="n"/>
      <c r="S316" s="14" t="n"/>
      <c r="T316" s="14" t="n"/>
      <c r="U316" s="14" t="n"/>
      <c r="V316" s="14" t="n"/>
      <c r="W316" s="14" t="n"/>
      <c r="X316" s="14" t="n"/>
      <c r="Y316" s="14" t="n"/>
      <c r="Z316" s="14" t="n"/>
      <c r="AA316" s="14" t="inlineStr">
        <is>
          <t>Hits</t>
        </is>
      </c>
      <c r="AB316" s="14" t="n"/>
      <c r="AC316" s="14" t="n"/>
      <c r="AD316" s="14" t="n"/>
      <c r="AE316" s="14" t="n"/>
      <c r="AF316" s="14" t="n"/>
      <c r="AG316" s="14"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4" t="n"/>
      <c r="H317" s="15" t="inlineStr">
        <is>
          <t>Phantasmal Flames</t>
        </is>
      </c>
      <c r="I317" s="14" t="n"/>
      <c r="J317" s="14" t="n"/>
      <c r="K317" s="14" t="n"/>
      <c r="L317" s="14" t="n"/>
      <c r="M317" s="14">
        <f>SUM(I317,R317,T317,V317,X317)</f>
        <v/>
      </c>
      <c r="N317" s="14" t="inlineStr">
        <is>
          <t>Yes</t>
        </is>
      </c>
      <c r="O317" s="14"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P317" s="14" t="inlineStr">
        <is>
          <t>More than one</t>
        </is>
      </c>
      <c r="Q317" s="15" t="inlineStr">
        <is>
          <t>Destined Rivals</t>
        </is>
      </c>
      <c r="R317" s="14" t="n"/>
      <c r="S317" s="15" t="inlineStr">
        <is>
          <t>Surging Sparks</t>
        </is>
      </c>
      <c r="T317" s="14" t="n"/>
      <c r="U317" s="15" t="inlineStr">
        <is>
          <t>Mega Evolution</t>
        </is>
      </c>
      <c r="V317" s="14" t="n"/>
      <c r="W317" s="14" t="n"/>
      <c r="X317" s="14" t="n"/>
      <c r="Y317" s="14" t="n"/>
      <c r="Z317" s="14" t="n"/>
      <c r="AA317" s="14" t="inlineStr">
        <is>
          <t>Hits</t>
        </is>
      </c>
      <c r="AB317" s="14" t="n"/>
      <c r="AC317" s="14" t="n"/>
      <c r="AD317" s="14" t="n"/>
      <c r="AE317" s="14" t="n"/>
      <c r="AF317" s="14" t="n"/>
      <c r="AG317" s="14"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4" t="n"/>
      <c r="H318" s="15" t="inlineStr">
        <is>
          <t>Mega Evolution</t>
        </is>
      </c>
      <c r="I318" s="14" t="n"/>
      <c r="J318" s="14" t="inlineStr">
        <is>
          <t>Fall 2025 Collector Chest</t>
        </is>
      </c>
      <c r="K318" s="14" t="n"/>
      <c r="L318" s="14" t="n"/>
      <c r="M318" s="14">
        <f>SUM(I318,R318,T318,V318,X318)</f>
        <v/>
      </c>
      <c r="N318" s="14" t="inlineStr">
        <is>
          <t>Yes</t>
        </is>
      </c>
      <c r="O318" s="14" t="inlineStr">
        <is>
          <t>Mega Evolution - Stufful - Single Gold star - Illustration Rare , Destined Rivals - Marnie's Grimmsnarl ex , Double Black Star - Double Rare , Journey Together - Wailord - Single Gold Star - Illustration Rare</t>
        </is>
      </c>
      <c r="P318" s="14" t="inlineStr">
        <is>
          <t>More than one</t>
        </is>
      </c>
      <c r="Q318" s="15" t="inlineStr">
        <is>
          <t>Destined Rivals</t>
        </is>
      </c>
      <c r="R318" s="14" t="n"/>
      <c r="S318" s="15" t="inlineStr">
        <is>
          <t>Journey Together</t>
        </is>
      </c>
      <c r="T318" s="14" t="n"/>
      <c r="U318" s="14" t="n"/>
      <c r="V318" s="14" t="n"/>
      <c r="W318" s="14" t="n"/>
      <c r="X318" s="14" t="n"/>
      <c r="Y318" s="14" t="n"/>
      <c r="Z318" s="14" t="n"/>
      <c r="AA318" s="14" t="inlineStr">
        <is>
          <t>Hits</t>
        </is>
      </c>
      <c r="AB318" s="14" t="n"/>
      <c r="AC318" s="14" t="n"/>
      <c r="AD318" s="14" t="n"/>
      <c r="AE318" s="14" t="n"/>
      <c r="AF318" s="14" t="n"/>
      <c r="AG318" s="14" t="inlineStr">
        <is>
          <t>All the packs are on the first set. Move some across the Packs columns if they came from different sets.</t>
        </is>
      </c>
    </row>
  </sheetData>
  <autoFilter ref="A1:AG318"/>
  <conditionalFormatting sqref="G2:N318">
    <cfRule type="expression" priority="1" dxfId="0" stopIfTrue="0">
      <formula>OR($G2="",$H2="",$I2="",$N2="")</formula>
    </cfRule>
  </conditionalFormatting>
  <conditionalFormatting sqref="N2:O318">
    <cfRule type="expression" priority="2" dxfId="1" stopIfTrue="0">
      <formula>AND($N2="Yes",$O2="")</formula>
    </cfRule>
  </conditionalFormatting>
  <dataValidations count="15">
    <dataValidation sqref="H2:H318" showDropDown="0" showInputMessage="0" showErrorMessage="0" allowBlank="1" type="list">
      <formula1>gr_list_A</formula1>
    </dataValidation>
    <dataValidation sqref="Q2:Q318" showDropDown="0" showInputMessage="0" showErrorMessage="0" allowBlank="1" type="list">
      <formula1>gr_list_A</formula1>
    </dataValidation>
    <dataValidation sqref="S2:S318" showDropDown="0" showInputMessage="0" showErrorMessage="0" allowBlank="1" type="list">
      <formula1>gr_list_A</formula1>
    </dataValidation>
    <dataValidation sqref="U2:U318" showDropDown="0" showInputMessage="0" showErrorMessage="0" allowBlank="1" type="list">
      <formula1>gr_list_A</formula1>
    </dataValidation>
    <dataValidation sqref="W2:W318" showDropDown="0" showInputMessage="0" showErrorMessage="0" allowBlank="1" type="list">
      <formula1>gr_list_A</formula1>
    </dataValidation>
    <dataValidation sqref="G2:G318" showDropDown="0" showInputMessage="0" showErrorMessage="0" allowBlank="1" type="list">
      <formula1>gr_list_B</formula1>
    </dataValidation>
    <dataValidation sqref="P2:P318" showDropDown="0" showInputMessage="0" showErrorMessage="0" allowBlank="1" type="list">
      <formula1>gr_list_C</formula1>
    </dataValidation>
    <dataValidation sqref="N2:N318" showDropDown="0" showInputMessage="0" showErrorMessage="0" allowBlank="1" type="list">
      <formula1>gr_list_D</formula1>
    </dataValidation>
    <dataValidation sqref="Y2:Y318" showDropDown="0" showInputMessage="0" showErrorMessage="0" allowBlank="1" type="list">
      <formula1>gr_list_D</formula1>
    </dataValidation>
    <dataValidation sqref="AE2:AE318" showDropDown="0" showInputMessage="0" showErrorMessage="0" allowBlank="1" type="list">
      <formula1>gr_list_D</formula1>
    </dataValidation>
    <dataValidation sqref="AF2:AF318" showDropDown="0" showInputMessage="0" showErrorMessage="0" allowBlank="1" type="list">
      <formula1>gr_list_D</formula1>
    </dataValidation>
    <dataValidation sqref="AA2:AA318" showDropDown="0" showInputMessage="0" showErrorMessage="0" allowBlank="1" type="list">
      <formula1>gr_list_E</formula1>
    </dataValidation>
    <dataValidation sqref="Z2:Z318" showDropDown="0" showInputMessage="0" showErrorMessage="0" allowBlank="1" type="list">
      <formula1>gr_list_K</formula1>
    </dataValidation>
    <dataValidation sqref="K2:K318" showDropDown="0" showInputMessage="0" showErrorMessage="0" allowBlank="1" type="list">
      <formula1>gr_list_L</formula1>
    </dataValidation>
    <dataValidation sqref="L2:L318" showDropDown="0" showInputMessage="0" showErrorMessage="0" allowBlank="1" type="list">
      <formula1>gr_list_M</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23</v>
      </c>
      <c r="F2" s="14" t="n"/>
      <c r="G2" s="14" t="n"/>
      <c r="H2" s="14" t="n"/>
    </row>
    <row r="3">
      <c r="A3" s="11" t="inlineStr">
        <is>
          <t>chaos-rising</t>
        </is>
      </c>
      <c r="B3" s="11" t="inlineStr">
        <is>
          <t>Chaos Rising</t>
        </is>
      </c>
      <c r="C3" s="11" t="inlineStr">
        <is>
          <t>2026-05-22</t>
        </is>
      </c>
      <c r="D3" s="11" t="n">
        <v>122</v>
      </c>
      <c r="E3" s="11" t="n">
        <v>54</v>
      </c>
      <c r="F3" s="14" t="n"/>
      <c r="G3" s="14" t="n"/>
      <c r="H3" s="14" t="n"/>
    </row>
    <row r="4">
      <c r="A4" s="11" t="inlineStr">
        <is>
          <t>perfect-order</t>
        </is>
      </c>
      <c r="B4" s="11" t="inlineStr">
        <is>
          <t>Perfect Order</t>
        </is>
      </c>
      <c r="C4" s="11" t="inlineStr">
        <is>
          <t>2026-03-27</t>
        </is>
      </c>
      <c r="D4" s="11" t="n">
        <v>124</v>
      </c>
      <c r="E4" s="11" t="n">
        <v>44</v>
      </c>
      <c r="F4" s="14" t="n"/>
      <c r="G4" s="14" t="n"/>
      <c r="H4" s="14" t="n"/>
    </row>
    <row r="5">
      <c r="A5" s="11" t="inlineStr">
        <is>
          <t>ascended-heroes</t>
        </is>
      </c>
      <c r="B5" s="11" t="inlineStr">
        <is>
          <t>Ascended Heroes</t>
        </is>
      </c>
      <c r="C5" s="11" t="inlineStr">
        <is>
          <t>2026-01-30</t>
        </is>
      </c>
      <c r="D5" s="11" t="n">
        <v>295</v>
      </c>
      <c r="E5" s="11" t="n">
        <v>55</v>
      </c>
      <c r="F5" s="14" t="n"/>
      <c r="G5" s="14" t="n"/>
      <c r="H5" s="14" t="n"/>
    </row>
    <row r="6">
      <c r="A6" s="11" t="inlineStr">
        <is>
          <t>phantasmal-flames</t>
        </is>
      </c>
      <c r="B6" s="11" t="inlineStr">
        <is>
          <t>Phantasmal Flames</t>
        </is>
      </c>
      <c r="C6" s="11" t="inlineStr">
        <is>
          <t>2025-11-14</t>
        </is>
      </c>
      <c r="D6" s="11" t="n">
        <v>130</v>
      </c>
      <c r="E6" s="11" t="n">
        <v>17</v>
      </c>
      <c r="F6" s="14" t="n"/>
      <c r="G6" s="14" t="n"/>
      <c r="H6" s="14" t="n"/>
    </row>
    <row r="7">
      <c r="A7" s="11" t="inlineStr">
        <is>
          <t>mega-evolution</t>
        </is>
      </c>
      <c r="B7" s="11" t="inlineStr">
        <is>
          <t>Mega Evolution</t>
        </is>
      </c>
      <c r="C7" s="11" t="inlineStr">
        <is>
          <t>2025-09-26</t>
        </is>
      </c>
      <c r="D7" s="11" t="n">
        <v>188</v>
      </c>
      <c r="E7" s="11" t="n">
        <v>7</v>
      </c>
      <c r="F7" s="14" t="n"/>
      <c r="G7" s="14" t="n"/>
      <c r="H7" s="14" t="n"/>
    </row>
    <row r="8">
      <c r="A8" s="11" t="inlineStr">
        <is>
          <t>white-flare</t>
        </is>
      </c>
      <c r="B8" s="11" t="inlineStr">
        <is>
          <t>White Flare</t>
        </is>
      </c>
      <c r="C8" s="11" t="inlineStr">
        <is>
          <t>2025-07-18</t>
        </is>
      </c>
      <c r="D8" s="11" t="n">
        <v>173</v>
      </c>
      <c r="E8" s="11" t="n">
        <v>0</v>
      </c>
      <c r="F8" s="14" t="n"/>
      <c r="G8" s="14" t="n"/>
      <c r="H8" s="14" t="n"/>
    </row>
    <row r="9">
      <c r="A9" s="11" t="inlineStr">
        <is>
          <t>black-bolt</t>
        </is>
      </c>
      <c r="B9" s="11" t="inlineStr">
        <is>
          <t>Black Bolt</t>
        </is>
      </c>
      <c r="C9" s="11" t="inlineStr">
        <is>
          <t>2025-07-18</t>
        </is>
      </c>
      <c r="D9" s="11" t="n">
        <v>172</v>
      </c>
      <c r="E9" s="11" t="n">
        <v>0</v>
      </c>
      <c r="F9" s="14" t="n"/>
      <c r="G9" s="14" t="n"/>
      <c r="H9" s="14" t="n"/>
    </row>
    <row r="10">
      <c r="A10" s="11" t="inlineStr">
        <is>
          <t>destined-rivals</t>
        </is>
      </c>
      <c r="B10" s="11" t="inlineStr">
        <is>
          <t>Destined Rivals</t>
        </is>
      </c>
      <c r="C10" s="11" t="inlineStr">
        <is>
          <t>2025-05-30</t>
        </is>
      </c>
      <c r="D10" s="11" t="n">
        <v>244</v>
      </c>
      <c r="E10" s="11" t="n">
        <v>15</v>
      </c>
      <c r="F10" s="14" t="n"/>
      <c r="G10" s="14" t="n"/>
      <c r="H10" s="14" t="n"/>
    </row>
    <row r="11">
      <c r="A11" s="11" t="inlineStr">
        <is>
          <t>journey-together</t>
        </is>
      </c>
      <c r="B11" s="11" t="inlineStr">
        <is>
          <t>Journey Together</t>
        </is>
      </c>
      <c r="C11" s="11" t="inlineStr">
        <is>
          <t>2025-03-28</t>
        </is>
      </c>
      <c r="D11" s="11" t="n">
        <v>190</v>
      </c>
      <c r="E11" s="11" t="n">
        <v>15</v>
      </c>
      <c r="F11" s="14" t="n"/>
      <c r="G11" s="14" t="n"/>
      <c r="H11" s="14" t="n"/>
    </row>
    <row r="12">
      <c r="A12" s="11" t="inlineStr">
        <is>
          <t>prismatic-evolutions</t>
        </is>
      </c>
      <c r="B12" s="11" t="inlineStr">
        <is>
          <t>Prismatic Evolutions</t>
        </is>
      </c>
      <c r="C12" s="11" t="inlineStr">
        <is>
          <t>2025-01-17</t>
        </is>
      </c>
      <c r="D12" s="11" t="n">
        <v>180</v>
      </c>
      <c r="E12" s="11" t="n">
        <v>13</v>
      </c>
      <c r="F12" s="14" t="n"/>
      <c r="G12" s="14" t="n"/>
      <c r="H12" s="14" t="n"/>
    </row>
    <row r="13">
      <c r="A13" s="11" t="inlineStr">
        <is>
          <t>surging-sparks</t>
        </is>
      </c>
      <c r="B13" s="11" t="inlineStr">
        <is>
          <t>Surging Sparks</t>
        </is>
      </c>
      <c r="C13" s="11" t="inlineStr">
        <is>
          <t>2024-11-08</t>
        </is>
      </c>
      <c r="D13" s="11" t="n">
        <v>252</v>
      </c>
      <c r="E13" s="11" t="n">
        <v>9</v>
      </c>
      <c r="F13" s="14" t="n"/>
      <c r="G13" s="14" t="n"/>
      <c r="H13" s="14" t="n"/>
    </row>
    <row r="14">
      <c r="A14" s="11" t="inlineStr">
        <is>
          <t>stellar-crown</t>
        </is>
      </c>
      <c r="B14" s="11" t="inlineStr">
        <is>
          <t>Stellar Crown</t>
        </is>
      </c>
      <c r="C14" s="11" t="inlineStr">
        <is>
          <t>2024-09-13</t>
        </is>
      </c>
      <c r="D14" s="11" t="n">
        <v>175</v>
      </c>
      <c r="E14" s="11" t="n">
        <v>0</v>
      </c>
      <c r="F14" s="14" t="n"/>
      <c r="G14" s="14" t="n"/>
      <c r="H14" s="14" t="n"/>
    </row>
    <row r="15">
      <c r="A15" s="11" t="inlineStr">
        <is>
          <t>shrouded-fable</t>
        </is>
      </c>
      <c r="B15" s="11" t="inlineStr">
        <is>
          <t>Shrouded Fable</t>
        </is>
      </c>
      <c r="C15" s="11" t="inlineStr">
        <is>
          <t>2024-08-02</t>
        </is>
      </c>
      <c r="D15" s="11" t="n">
        <v>99</v>
      </c>
      <c r="E15" s="11" t="n">
        <v>0</v>
      </c>
      <c r="F15" s="14" t="n"/>
      <c r="G15" s="14" t="n"/>
      <c r="H15" s="14" t="n"/>
    </row>
    <row r="16">
      <c r="A16" s="11" t="inlineStr">
        <is>
          <t>twilight-masquerade</t>
        </is>
      </c>
      <c r="B16" s="11" t="inlineStr">
        <is>
          <t>Twilight Masquerade</t>
        </is>
      </c>
      <c r="C16" s="11" t="inlineStr">
        <is>
          <t>2024-05-24</t>
        </is>
      </c>
      <c r="D16" s="11" t="n">
        <v>226</v>
      </c>
      <c r="E16" s="11" t="n">
        <v>5</v>
      </c>
      <c r="F16" s="14" t="n"/>
      <c r="G16" s="14" t="n"/>
      <c r="H16" s="14" t="n"/>
    </row>
    <row r="17">
      <c r="A17" s="11" t="inlineStr">
        <is>
          <t>temporal-forces</t>
        </is>
      </c>
      <c r="B17" s="11" t="inlineStr">
        <is>
          <t>Temporal Forces</t>
        </is>
      </c>
      <c r="C17" s="11" t="inlineStr">
        <is>
          <t>2024-03-22</t>
        </is>
      </c>
      <c r="D17" s="11" t="n">
        <v>218</v>
      </c>
      <c r="E17" s="11" t="n">
        <v>2</v>
      </c>
      <c r="F17" s="14" t="n"/>
      <c r="G17" s="14" t="n"/>
      <c r="H17" s="14" t="n"/>
    </row>
    <row r="18">
      <c r="A18" s="11" t="inlineStr">
        <is>
          <t>paldean-fates</t>
        </is>
      </c>
      <c r="B18" s="11" t="inlineStr">
        <is>
          <t>Paldean Fates</t>
        </is>
      </c>
      <c r="C18" s="11" t="inlineStr">
        <is>
          <t>2024-01-26</t>
        </is>
      </c>
      <c r="D18" s="11" t="n">
        <v>245</v>
      </c>
      <c r="E18" s="11" t="n">
        <v>0</v>
      </c>
      <c r="F18" s="14" t="n"/>
      <c r="G18" s="14" t="n"/>
      <c r="H18" s="14" t="n"/>
    </row>
    <row r="19">
      <c r="A19" s="11" t="inlineStr">
        <is>
          <t>paradox-rift</t>
        </is>
      </c>
      <c r="B19" s="11" t="inlineStr">
        <is>
          <t>Paradox Rift</t>
        </is>
      </c>
      <c r="C19" s="11" t="inlineStr">
        <is>
          <t>2023-11-03</t>
        </is>
      </c>
      <c r="D19" s="11" t="n">
        <v>266</v>
      </c>
      <c r="E19" s="11" t="n">
        <v>3</v>
      </c>
      <c r="F19" s="14" t="n"/>
      <c r="G19" s="14" t="n"/>
      <c r="H19" s="14" t="n"/>
    </row>
    <row r="20">
      <c r="A20" s="11" t="inlineStr">
        <is>
          <t>151</t>
        </is>
      </c>
      <c r="B20" s="11" t="inlineStr">
        <is>
          <t>151</t>
        </is>
      </c>
      <c r="C20" s="11" t="inlineStr">
        <is>
          <t>2023-09-22</t>
        </is>
      </c>
      <c r="D20" s="11" t="n">
        <v>207</v>
      </c>
      <c r="E20" s="11" t="n">
        <v>1</v>
      </c>
      <c r="F20" s="14" t="n"/>
      <c r="G20" s="14" t="n"/>
      <c r="H20" s="14" t="n"/>
    </row>
    <row r="21">
      <c r="A21" s="11" t="inlineStr">
        <is>
          <t>obsidian-flames</t>
        </is>
      </c>
      <c r="B21" s="11" t="inlineStr">
        <is>
          <t>Obsidian Flames</t>
        </is>
      </c>
      <c r="C21" s="11" t="inlineStr">
        <is>
          <t>2023-08-11</t>
        </is>
      </c>
      <c r="D21" s="11" t="n">
        <v>230</v>
      </c>
      <c r="E21" s="11" t="n">
        <v>1</v>
      </c>
      <c r="F21" s="14" t="n"/>
      <c r="G21" s="14" t="n"/>
      <c r="H21" s="14" t="n"/>
    </row>
    <row r="22">
      <c r="A22" s="11" t="inlineStr">
        <is>
          <t>paldea-evolved</t>
        </is>
      </c>
      <c r="B22" s="11" t="inlineStr">
        <is>
          <t>Paldea Evolved</t>
        </is>
      </c>
      <c r="C22" s="11" t="inlineStr">
        <is>
          <t>2023-06-09</t>
        </is>
      </c>
      <c r="D22" s="11" t="n">
        <v>279</v>
      </c>
      <c r="E22" s="11" t="n">
        <v>1</v>
      </c>
      <c r="F22" s="14" t="n"/>
      <c r="G22" s="14" t="n"/>
      <c r="H22" s="14" t="n"/>
    </row>
    <row r="23">
      <c r="A23" s="11" t="inlineStr">
        <is>
          <t>scarlet-violet</t>
        </is>
      </c>
      <c r="B23" s="11" t="inlineStr">
        <is>
          <t>Scarlet &amp; Violet</t>
        </is>
      </c>
      <c r="C23" s="11" t="inlineStr">
        <is>
          <t>2023-03-31</t>
        </is>
      </c>
      <c r="D23" s="11" t="n">
        <v>258</v>
      </c>
      <c r="E23" s="11" t="n">
        <v>0</v>
      </c>
      <c r="F23" s="14" t="n"/>
      <c r="G23" s="14" t="n"/>
      <c r="H23" s="14" t="n"/>
    </row>
    <row r="24">
      <c r="A24" s="11" t="inlineStr">
        <is>
          <t>crown-zenith</t>
        </is>
      </c>
      <c r="B24" s="11" t="inlineStr">
        <is>
          <t>Crown Zenith</t>
        </is>
      </c>
      <c r="C24" s="11" t="inlineStr">
        <is>
          <t>2023-01-20</t>
        </is>
      </c>
      <c r="D24" s="11" t="n">
        <v>160</v>
      </c>
      <c r="E24" s="11" t="n">
        <v>1</v>
      </c>
      <c r="F24" s="14" t="n"/>
      <c r="G24" s="14" t="n"/>
      <c r="H24" s="14" t="n"/>
    </row>
    <row r="25">
      <c r="A25" s="11" t="inlineStr">
        <is>
          <t>pokemon-go</t>
        </is>
      </c>
      <c r="B25" s="11" t="inlineStr">
        <is>
          <t>Pokémon GO</t>
        </is>
      </c>
      <c r="C25" s="11" t="inlineStr">
        <is>
          <t>2022-07-01</t>
        </is>
      </c>
      <c r="D25" s="11" t="n">
        <v>88</v>
      </c>
      <c r="E25" s="11" t="n">
        <v>12</v>
      </c>
      <c r="F25" s="14" t="n"/>
      <c r="G25" s="14" t="n"/>
      <c r="H25" s="14" t="n"/>
    </row>
    <row r="26">
      <c r="A26" s="11" t="inlineStr">
        <is>
          <t>celebrations</t>
        </is>
      </c>
      <c r="B26" s="11" t="inlineStr">
        <is>
          <t>Celebrations</t>
        </is>
      </c>
      <c r="C26" s="11" t="inlineStr">
        <is>
          <t>2021-10-08</t>
        </is>
      </c>
      <c r="D26" s="11" t="n">
        <v>25</v>
      </c>
      <c r="E26" s="11" t="n">
        <v>1</v>
      </c>
      <c r="F26" s="14" t="n"/>
      <c r="G26" s="14" t="n"/>
      <c r="H26" s="14" t="n"/>
    </row>
    <row r="27">
      <c r="A27" s="11" t="inlineStr">
        <is>
          <t>chilling-reign</t>
        </is>
      </c>
      <c r="B27" s="11" t="inlineStr">
        <is>
          <t>Chilling Reign</t>
        </is>
      </c>
      <c r="C27" s="11" t="inlineStr">
        <is>
          <t>2021-06-18</t>
        </is>
      </c>
      <c r="D27" s="11" t="n">
        <v>233</v>
      </c>
      <c r="E27" s="11" t="n">
        <v>1</v>
      </c>
      <c r="F27" s="14" t="n"/>
      <c r="G27" s="14" t="n"/>
      <c r="H27" s="14" t="n"/>
    </row>
    <row r="28">
      <c r="A28" s="11" t="inlineStr">
        <is>
          <t>shining-fates</t>
        </is>
      </c>
      <c r="B28" s="11" t="inlineStr">
        <is>
          <t>Shining Fates</t>
        </is>
      </c>
      <c r="C28" s="11" t="inlineStr">
        <is>
          <t>2021-02-19</t>
        </is>
      </c>
      <c r="D28" s="11" t="n">
        <v>73</v>
      </c>
      <c r="E28" s="11" t="n">
        <v>2</v>
      </c>
      <c r="F28" s="14" t="n"/>
      <c r="G28" s="14" t="n"/>
      <c r="H28" s="14" t="n"/>
    </row>
    <row r="29">
      <c r="A29" s="11" t="inlineStr">
        <is>
          <t>rebel-clash</t>
        </is>
      </c>
      <c r="B29" s="11" t="inlineStr">
        <is>
          <t>Rebel Clash</t>
        </is>
      </c>
      <c r="C29" s="11" t="inlineStr">
        <is>
          <t>2020-05-01</t>
        </is>
      </c>
      <c r="D29" s="11" t="n">
        <v>209</v>
      </c>
      <c r="E29" s="11" t="n">
        <v>2</v>
      </c>
      <c r="F29" s="14" t="n"/>
      <c r="G29" s="14" t="n"/>
      <c r="H29" s="14"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Log'!A2:A318)</f>
        <v/>
      </c>
    </row>
    <row r="4">
      <c r="A4" s="7" t="inlineStr">
        <is>
          <t>Set filled in</t>
        </is>
      </c>
      <c r="B4" s="18">
        <f>COUNTA('Video Log'!H2:H318)</f>
        <v/>
      </c>
    </row>
    <row r="5">
      <c r="A5" s="7" t="inlineStr">
        <is>
          <t>Still missing a set</t>
        </is>
      </c>
      <c r="B5" s="18">
        <f>COUNTA('Video Log'!A2:A318)-COUNTA('Video Log'!H2:H318)</f>
        <v/>
      </c>
    </row>
    <row r="6">
      <c r="A6" s="7" t="inlineStr">
        <is>
          <t>Videos with 2+ sets</t>
        </is>
      </c>
      <c r="B6" s="18">
        <f>COUNTA('Video Log'!Q2:Q318)</f>
        <v/>
      </c>
    </row>
    <row r="7">
      <c r="A7" s="7" t="inlineStr">
        <is>
          <t>Videos with 4 sets</t>
        </is>
      </c>
      <c r="B7" s="18">
        <f>COUNTA('Video Log'!U2:U318)</f>
        <v/>
      </c>
    </row>
    <row r="8">
      <c r="A8" s="7" t="inlineStr">
        <is>
          <t>Hit rarity filled in</t>
        </is>
      </c>
      <c r="B8" s="18">
        <f>COUNTA('Video Log'!P2:P318)</f>
        <v/>
      </c>
    </row>
    <row r="9">
      <c r="A9" s="7" t="inlineStr">
        <is>
          <t>Pack count filled in</t>
        </is>
      </c>
      <c r="B9" s="18">
        <f>COUNTA('Video Log'!I2:I318)</f>
        <v/>
      </c>
    </row>
    <row r="10">
      <c r="A10" s="7" t="inlineStr">
        <is>
          <t>Still missing a pack count</t>
        </is>
      </c>
      <c r="B10" s="18">
        <f>COUNTA('Video Log'!A2:A318)-COUNTA('Video Log'!I2:I318)</f>
        <v/>
      </c>
    </row>
    <row r="11">
      <c r="A11" s="7" t="inlineStr">
        <is>
          <t>Opening type filled in</t>
        </is>
      </c>
      <c r="B11" s="18">
        <f>COUNTA('Video Log'!G2:G318)</f>
        <v/>
      </c>
    </row>
    <row r="12">
      <c r="A12" s="7" t="inlineStr">
        <is>
          <t>Box number filled in</t>
        </is>
      </c>
      <c r="B12" s="18">
        <f>COUNTA('Video Log'!K2:K318)</f>
        <v/>
      </c>
    </row>
    <row r="13">
      <c r="A13" s="7" t="inlineStr">
        <is>
          <t>Pack number filled in</t>
        </is>
      </c>
      <c r="B13" s="18">
        <f>COUNTA('Video Log'!L2:L318)</f>
        <v/>
      </c>
    </row>
    <row r="14">
      <c r="A14" s="7" t="inlineStr">
        <is>
          <t>Marked as a hit</t>
        </is>
      </c>
      <c r="B14" s="18">
        <f>COUNTIF('Video Log'!N2:N318,"Yes")</f>
        <v/>
      </c>
    </row>
    <row r="15">
      <c r="A15" s="7" t="inlineStr">
        <is>
          <t>Hit card named</t>
        </is>
      </c>
      <c r="B15" s="18">
        <f>COUNTA('Video Log'!O2:O318)</f>
        <v/>
      </c>
    </row>
    <row r="16">
      <c r="A16" s="7" t="inlineStr">
        <is>
          <t>In Greatest Hits</t>
        </is>
      </c>
      <c r="B16" s="18">
        <f>COUNTIF('Video Log'!Y2:Y318,"Yes")</f>
        <v/>
      </c>
    </row>
    <row r="17">
      <c r="A17" s="7" t="inlineStr">
        <is>
          <t>Given a rank</t>
        </is>
      </c>
      <c r="B17" s="18">
        <f>COUNTA('Video Log'!Z2:Z318)</f>
        <v/>
      </c>
    </row>
    <row r="18">
      <c r="A18" s="7" t="inlineStr">
        <is>
          <t>Affiliate links added</t>
        </is>
      </c>
      <c r="B18" s="18">
        <f>COUNTA('Video Log'!AB2:AB318)</f>
        <v/>
      </c>
    </row>
    <row r="19">
      <c r="A19" s="7" t="inlineStr">
        <is>
          <t>Hidden from the site</t>
        </is>
      </c>
      <c r="B19" s="18">
        <f>COUNTIF('Video Log'!AF2:AF318,"Yes")</f>
        <v/>
      </c>
    </row>
    <row r="22">
      <c r="A22"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4" t="n"/>
      <c r="I2" s="14" t="n"/>
      <c r="J2" s="15" t="inlineStr">
        <is>
          <t>Yes</t>
        </is>
      </c>
      <c r="K2" s="15" t="inlineStr">
        <is>
          <t>No</t>
        </is>
      </c>
      <c r="L2" s="14" t="n"/>
      <c r="M2" s="14" t="n"/>
      <c r="N2" s="15"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4" t="n"/>
      <c r="I3" s="14" t="n"/>
      <c r="J3" s="14" t="n"/>
      <c r="K3" s="14" t="n"/>
      <c r="L3" s="14" t="n"/>
      <c r="M3" s="14" t="n"/>
      <c r="N3" s="14"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4" t="n"/>
      <c r="I4" s="14" t="n"/>
      <c r="J4" s="14" t="n"/>
      <c r="K4" s="14" t="n"/>
      <c r="L4" s="14" t="n"/>
      <c r="M4" s="14" t="n"/>
      <c r="N4" s="14"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4" t="n"/>
      <c r="I5" s="14" t="n"/>
      <c r="J5" s="14" t="n"/>
      <c r="K5" s="14" t="n"/>
      <c r="L5" s="14" t="n"/>
      <c r="M5" s="14" t="n"/>
      <c r="N5" s="14"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4" t="n"/>
      <c r="I6" s="14" t="n"/>
      <c r="J6" s="14" t="n"/>
      <c r="K6" s="14" t="n"/>
      <c r="L6" s="14" t="n"/>
      <c r="M6" s="14" t="n"/>
      <c r="N6" s="14" t="n"/>
    </row>
    <row r="7">
      <c r="A7" s="11" t="inlineStr">
        <is>
          <t>pitch-black-119</t>
        </is>
      </c>
      <c r="B7" s="11" t="inlineStr">
        <is>
          <t>Pitch Black</t>
        </is>
      </c>
      <c r="C7" s="11" t="inlineStr">
        <is>
          <t>Gwynn</t>
        </is>
      </c>
      <c r="D7" s="11" t="inlineStr">
        <is>
          <t>119</t>
        </is>
      </c>
      <c r="E7" s="11" t="inlineStr">
        <is>
          <t>Special illustration rare</t>
        </is>
      </c>
      <c r="F7" s="19" t="n">
        <v>36.78</v>
      </c>
      <c r="G7" s="20" t="n"/>
      <c r="H7" s="14" t="n"/>
      <c r="I7" s="14" t="n"/>
      <c r="J7" s="14" t="n"/>
      <c r="K7" s="14" t="n"/>
      <c r="L7" s="14" t="n"/>
      <c r="M7" s="14" t="n"/>
      <c r="N7" s="14"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4" t="n"/>
      <c r="I8" s="14" t="n"/>
      <c r="J8" s="14" t="n"/>
      <c r="K8" s="14" t="n"/>
      <c r="L8" s="14" t="n"/>
      <c r="M8" s="14" t="n"/>
      <c r="N8" s="14" t="n"/>
    </row>
    <row r="9">
      <c r="A9" s="11" t="inlineStr">
        <is>
          <t>pitch-black-111</t>
        </is>
      </c>
      <c r="B9" s="11" t="inlineStr">
        <is>
          <t>Pitch Black</t>
        </is>
      </c>
      <c r="C9" s="11" t="inlineStr">
        <is>
          <t>Misty's Vitality</t>
        </is>
      </c>
      <c r="D9" s="11" t="inlineStr">
        <is>
          <t>111</t>
        </is>
      </c>
      <c r="E9" s="11" t="inlineStr">
        <is>
          <t>Ultra Rare</t>
        </is>
      </c>
      <c r="F9" s="19" t="n">
        <v>21.72</v>
      </c>
      <c r="G9" s="20" t="n"/>
      <c r="H9" s="14" t="n"/>
      <c r="I9" s="14" t="n"/>
      <c r="J9" s="14" t="n"/>
      <c r="K9" s="14" t="n"/>
      <c r="L9" s="14" t="n"/>
      <c r="M9" s="14" t="n"/>
      <c r="N9" s="14"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4" t="n"/>
      <c r="I10" s="14" t="n"/>
      <c r="J10" s="15" t="inlineStr">
        <is>
          <t>Yes</t>
        </is>
      </c>
      <c r="K10" s="15" t="inlineStr">
        <is>
          <t>No</t>
        </is>
      </c>
      <c r="L10" s="14" t="n"/>
      <c r="M10" s="14" t="n"/>
      <c r="N10" s="15"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4" t="n"/>
      <c r="I11" s="14" t="n"/>
      <c r="J11" s="14" t="n"/>
      <c r="K11" s="14" t="n"/>
      <c r="L11" s="14" t="n"/>
      <c r="M11" s="14" t="n"/>
      <c r="N11" s="14"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4" t="n"/>
      <c r="I12" s="14" t="n"/>
      <c r="J12" s="14" t="n"/>
      <c r="K12" s="14" t="n"/>
      <c r="L12" s="14" t="n"/>
      <c r="M12" s="14" t="n"/>
      <c r="N12" s="14"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4" t="n"/>
      <c r="I13" s="14" t="n"/>
      <c r="J13" s="14" t="n"/>
      <c r="K13" s="14" t="n"/>
      <c r="L13" s="14" t="n"/>
      <c r="M13" s="14" t="n"/>
      <c r="N13" s="14"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4" t="n"/>
      <c r="I14" s="14" t="n"/>
      <c r="J14" s="14" t="n"/>
      <c r="K14" s="14" t="n"/>
      <c r="L14" s="14" t="n"/>
      <c r="M14" s="14" t="n"/>
      <c r="N14" s="14"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4" t="n"/>
      <c r="I15" s="14" t="n"/>
      <c r="J15" s="14" t="n"/>
      <c r="K15" s="14" t="n"/>
      <c r="L15" s="14" t="n"/>
      <c r="M15" s="14" t="n"/>
      <c r="N15" s="14"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4" t="n"/>
      <c r="I16" s="14" t="n"/>
      <c r="J16" s="14" t="n"/>
      <c r="K16" s="14" t="n"/>
      <c r="L16" s="14" t="n"/>
      <c r="M16" s="14" t="n"/>
      <c r="N16" s="14"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4" t="n"/>
      <c r="I17" s="14" t="n"/>
      <c r="J17" s="14" t="n"/>
      <c r="K17" s="14" t="n"/>
      <c r="L17" s="14" t="n"/>
      <c r="M17" s="14" t="n"/>
      <c r="N17" s="14"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4" t="n"/>
      <c r="I18" s="14" t="n"/>
      <c r="J18" s="14" t="n"/>
      <c r="K18" s="14" t="n"/>
      <c r="L18" s="14" t="n"/>
      <c r="M18" s="14" t="n"/>
      <c r="N18" s="14"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4" t="n"/>
      <c r="I19" s="14" t="n"/>
      <c r="J19" s="15" t="inlineStr">
        <is>
          <t>Yes</t>
        </is>
      </c>
      <c r="K19" s="15" t="inlineStr">
        <is>
          <t>No</t>
        </is>
      </c>
      <c r="L19" s="14" t="n"/>
      <c r="M19" s="14" t="n"/>
      <c r="N19" s="15"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4" t="n"/>
      <c r="I20" s="14" t="n"/>
      <c r="J20" s="14" t="n"/>
      <c r="K20" s="14" t="n"/>
      <c r="L20" s="14" t="n"/>
      <c r="M20" s="14" t="n"/>
      <c r="N20" s="14"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4" t="n"/>
      <c r="I21" s="14" t="n"/>
      <c r="J21" s="14" t="n"/>
      <c r="K21" s="14" t="n"/>
      <c r="L21" s="14" t="n"/>
      <c r="M21" s="14" t="n"/>
      <c r="N21" s="14"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4" t="n"/>
      <c r="I22" s="14" t="n"/>
      <c r="J22" s="14" t="n"/>
      <c r="K22" s="14" t="n"/>
      <c r="L22" s="14" t="n"/>
      <c r="M22" s="14" t="n"/>
      <c r="N22" s="14"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4" t="n"/>
      <c r="I23" s="14" t="n"/>
      <c r="J23" s="14" t="n"/>
      <c r="K23" s="14" t="n"/>
      <c r="L23" s="14" t="n"/>
      <c r="M23" s="14" t="n"/>
      <c r="N23" s="14"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4" t="n"/>
      <c r="I24" s="14" t="n"/>
      <c r="J24" s="14" t="n"/>
      <c r="K24" s="14" t="n"/>
      <c r="L24" s="14" t="n"/>
      <c r="M24" s="14" t="n"/>
      <c r="N24" s="14"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4" t="n"/>
      <c r="I25" s="14" t="n"/>
      <c r="J25" s="14" t="n"/>
      <c r="K25" s="14" t="n"/>
      <c r="L25" s="14" t="n"/>
      <c r="M25" s="14" t="n"/>
      <c r="N25" s="14"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4" t="n"/>
      <c r="I26" s="14" t="n"/>
      <c r="J26" s="14" t="n"/>
      <c r="K26" s="14" t="n"/>
      <c r="L26" s="14" t="n"/>
      <c r="M26" s="14" t="n"/>
      <c r="N26" s="14"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4" t="n"/>
      <c r="I27" s="14" t="n"/>
      <c r="J27" s="14" t="n"/>
      <c r="K27" s="14" t="n"/>
      <c r="L27" s="14" t="n"/>
      <c r="M27" s="14" t="n"/>
      <c r="N27" s="14"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4" t="n"/>
      <c r="I28" s="14" t="n"/>
      <c r="J28" s="15" t="inlineStr">
        <is>
          <t>Yes</t>
        </is>
      </c>
      <c r="K28" s="15" t="inlineStr">
        <is>
          <t>No</t>
        </is>
      </c>
      <c r="L28" s="14" t="n"/>
      <c r="M28" s="14" t="n"/>
      <c r="N28" s="15"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4" t="n"/>
      <c r="I29" s="14" t="n"/>
      <c r="J29" s="14" t="n"/>
      <c r="K29" s="14" t="n"/>
      <c r="L29" s="14" t="n"/>
      <c r="M29" s="14" t="n"/>
      <c r="N29" s="14"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4" t="n"/>
      <c r="I30" s="14" t="n"/>
      <c r="J30" s="14" t="n"/>
      <c r="K30" s="14" t="n"/>
      <c r="L30" s="14" t="n"/>
      <c r="M30" s="14" t="n"/>
      <c r="N30" s="14"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4" t="n"/>
      <c r="I31" s="14" t="n"/>
      <c r="J31" s="14" t="n"/>
      <c r="K31" s="14" t="n"/>
      <c r="L31" s="14" t="n"/>
      <c r="M31" s="14" t="n"/>
      <c r="N31" s="14"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4" t="n"/>
      <c r="I32" s="14" t="n"/>
      <c r="J32" s="14" t="n"/>
      <c r="K32" s="14" t="n"/>
      <c r="L32" s="14" t="n"/>
      <c r="M32" s="14" t="n"/>
      <c r="N32" s="14"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4" t="n"/>
      <c r="I33" s="14" t="n"/>
      <c r="J33" s="14" t="n"/>
      <c r="K33" s="14" t="n"/>
      <c r="L33" s="14" t="n"/>
      <c r="M33" s="14" t="n"/>
      <c r="N33" s="14"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4" t="n"/>
      <c r="I34" s="14" t="n"/>
      <c r="J34" s="15" t="inlineStr">
        <is>
          <t>Yes</t>
        </is>
      </c>
      <c r="K34" s="15" t="inlineStr">
        <is>
          <t>No</t>
        </is>
      </c>
      <c r="L34" s="14" t="n"/>
      <c r="M34" s="14" t="n"/>
      <c r="N34" s="15"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4" t="n"/>
      <c r="I35" s="14" t="n"/>
      <c r="J35" s="14" t="n"/>
      <c r="K35" s="14" t="n"/>
      <c r="L35" s="14" t="n"/>
      <c r="M35" s="14" t="n"/>
      <c r="N35" s="14"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4" t="n"/>
      <c r="I36" s="14" t="n"/>
      <c r="J36" s="14" t="n"/>
      <c r="K36" s="14" t="n"/>
      <c r="L36" s="14" t="n"/>
      <c r="M36" s="14" t="n"/>
      <c r="N36" s="14"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4" t="n"/>
      <c r="I37" s="14" t="n"/>
      <c r="J37" s="14" t="n"/>
      <c r="K37" s="14" t="n"/>
      <c r="L37" s="14" t="n"/>
      <c r="M37" s="14" t="n"/>
      <c r="N37" s="14"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4" t="n"/>
      <c r="I38" s="14" t="n"/>
      <c r="J38" s="14" t="n"/>
      <c r="K38" s="14" t="n"/>
      <c r="L38" s="14" t="n"/>
      <c r="M38" s="14" t="n"/>
      <c r="N38" s="14"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4" t="n"/>
      <c r="I39" s="14" t="n"/>
      <c r="J39" s="14" t="n"/>
      <c r="K39" s="14" t="n"/>
      <c r="L39" s="14" t="n"/>
      <c r="M39" s="14" t="n"/>
      <c r="N39" s="14"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4" t="n"/>
      <c r="I40" s="14" t="n"/>
      <c r="J40" s="14" t="n"/>
      <c r="K40" s="14" t="n"/>
      <c r="L40" s="14" t="n"/>
      <c r="M40" s="14" t="n"/>
      <c r="N40" s="14"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4" t="n"/>
      <c r="I41" s="14" t="n"/>
      <c r="J41" s="14" t="n"/>
      <c r="K41" s="14" t="n"/>
      <c r="L41" s="14" t="n"/>
      <c r="M41" s="14" t="n"/>
      <c r="N41" s="14"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4" t="n"/>
      <c r="I42" s="14" t="n"/>
      <c r="J42" s="14" t="n"/>
      <c r="K42" s="14" t="n"/>
      <c r="L42" s="14" t="n"/>
      <c r="M42" s="14" t="n"/>
      <c r="N42" s="14"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4" t="n"/>
      <c r="I43" s="14" t="n"/>
      <c r="J43" s="14" t="n"/>
      <c r="K43" s="14" t="n"/>
      <c r="L43" s="14" t="n"/>
      <c r="M43" s="14" t="n"/>
      <c r="N43" s="14"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4" t="n"/>
      <c r="I44" s="14" t="n"/>
      <c r="J44" s="15" t="inlineStr">
        <is>
          <t>Yes</t>
        </is>
      </c>
      <c r="K44" s="15" t="inlineStr">
        <is>
          <t>No</t>
        </is>
      </c>
      <c r="L44" s="14" t="n"/>
      <c r="M44" s="14" t="n"/>
      <c r="N44" s="15"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4" t="n"/>
      <c r="I45" s="14" t="n"/>
      <c r="J45" s="14" t="n"/>
      <c r="K45" s="14" t="n"/>
      <c r="L45" s="14" t="n"/>
      <c r="M45" s="14" t="n"/>
      <c r="N45" s="14"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4" t="n"/>
      <c r="I46" s="14" t="n"/>
      <c r="J46" s="14" t="n"/>
      <c r="K46" s="14" t="n"/>
      <c r="L46" s="14" t="n"/>
      <c r="M46" s="14" t="n"/>
      <c r="N46" s="14"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4" t="n"/>
      <c r="I47" s="14" t="n"/>
      <c r="J47" s="14" t="n"/>
      <c r="K47" s="14" t="n"/>
      <c r="L47" s="14" t="n"/>
      <c r="M47" s="14" t="n"/>
      <c r="N47" s="14"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4" t="n"/>
      <c r="I48" s="14" t="n"/>
      <c r="J48" s="14" t="n"/>
      <c r="K48" s="14" t="n"/>
      <c r="L48" s="14" t="n"/>
      <c r="M48" s="14" t="n"/>
      <c r="N48" s="14"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4" t="n"/>
      <c r="I49" s="14" t="n"/>
      <c r="J49" s="14" t="n"/>
      <c r="K49" s="14" t="n"/>
      <c r="L49" s="14" t="n"/>
      <c r="M49" s="14" t="n"/>
      <c r="N49" s="14" t="n"/>
    </row>
    <row r="50">
      <c r="A50" s="11" t="inlineStr">
        <is>
          <t>white-flare-172</t>
        </is>
      </c>
      <c r="B50" s="11" t="inlineStr">
        <is>
          <t>White Flare</t>
        </is>
      </c>
      <c r="C50" s="11" t="inlineStr">
        <is>
          <t>Victini</t>
        </is>
      </c>
      <c r="D50" s="11" t="inlineStr">
        <is>
          <t>172</t>
        </is>
      </c>
      <c r="E50" s="11" t="inlineStr">
        <is>
          <t>Black White Rare</t>
        </is>
      </c>
      <c r="F50" s="19" t="n">
        <v>550.65</v>
      </c>
      <c r="G50" s="20" t="n"/>
      <c r="H50" s="14" t="n"/>
      <c r="I50" s="14" t="n"/>
      <c r="J50" s="15" t="inlineStr">
        <is>
          <t>Yes</t>
        </is>
      </c>
      <c r="K50" s="15" t="inlineStr">
        <is>
          <t>No</t>
        </is>
      </c>
      <c r="L50" s="14" t="n"/>
      <c r="M50" s="14" t="n"/>
      <c r="N50" s="15"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4" t="n"/>
      <c r="I51" s="14" t="n"/>
      <c r="J51" s="14" t="n"/>
      <c r="K51" s="14" t="n"/>
      <c r="L51" s="14" t="n"/>
      <c r="M51" s="14" t="n"/>
      <c r="N51" s="14"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4" t="n"/>
      <c r="I52" s="14" t="n"/>
      <c r="J52" s="15" t="inlineStr">
        <is>
          <t>Yes</t>
        </is>
      </c>
      <c r="K52" s="15" t="inlineStr">
        <is>
          <t>No</t>
        </is>
      </c>
      <c r="L52" s="14" t="n"/>
      <c r="M52" s="14" t="n"/>
      <c r="N52" s="15"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4" t="n"/>
      <c r="I53" s="14" t="n"/>
      <c r="J53" s="14" t="n"/>
      <c r="K53" s="14" t="n"/>
      <c r="L53" s="14" t="n"/>
      <c r="M53" s="14" t="n"/>
      <c r="N53" s="14"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4" t="n"/>
      <c r="I54" s="14" t="n"/>
      <c r="J54" s="14" t="n"/>
      <c r="K54" s="14" t="n"/>
      <c r="L54" s="14" t="n"/>
      <c r="M54" s="14" t="n"/>
      <c r="N54" s="14" t="n"/>
    </row>
    <row r="55">
      <c r="A55" s="11" t="inlineStr">
        <is>
          <t>white-flare-143</t>
        </is>
      </c>
      <c r="B55" s="11" t="inlineStr">
        <is>
          <t>White Flare</t>
        </is>
      </c>
      <c r="C55" s="11" t="inlineStr">
        <is>
          <t>Zoroark</t>
        </is>
      </c>
      <c r="D55" s="11" t="inlineStr">
        <is>
          <t>143</t>
        </is>
      </c>
      <c r="E55" s="11" t="inlineStr">
        <is>
          <t>Illustration rare</t>
        </is>
      </c>
      <c r="F55" s="19" t="n">
        <v>71.73</v>
      </c>
      <c r="G55" s="20" t="n"/>
      <c r="H55" s="14" t="n"/>
      <c r="I55" s="14" t="n"/>
      <c r="J55" s="14" t="n"/>
      <c r="K55" s="14" t="n"/>
      <c r="L55" s="14" t="n"/>
      <c r="M55" s="14" t="n"/>
      <c r="N55" s="14"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4" t="n"/>
      <c r="I56" s="14" t="n"/>
      <c r="J56" s="14" t="n"/>
      <c r="K56" s="14" t="n"/>
      <c r="L56" s="14" t="n"/>
      <c r="M56" s="14" t="n"/>
      <c r="N56" s="14"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4" t="n"/>
      <c r="I57" s="14" t="n"/>
      <c r="J57" s="14" t="n"/>
      <c r="K57" s="14" t="n"/>
      <c r="L57" s="14" t="n"/>
      <c r="M57" s="14" t="n"/>
      <c r="N57" s="14" t="n"/>
    </row>
    <row r="58">
      <c r="A58" s="11" t="inlineStr">
        <is>
          <t>black-bolt-172</t>
        </is>
      </c>
      <c r="B58" s="11" t="inlineStr">
        <is>
          <t>Black Bolt</t>
        </is>
      </c>
      <c r="C58" s="11" t="inlineStr">
        <is>
          <t>Zekrom ex</t>
        </is>
      </c>
      <c r="D58" s="11" t="inlineStr">
        <is>
          <t>172</t>
        </is>
      </c>
      <c r="E58" s="11" t="inlineStr">
        <is>
          <t>Black White Rare</t>
        </is>
      </c>
      <c r="F58" s="19" t="n">
        <v>604.65</v>
      </c>
      <c r="G58" s="20" t="n"/>
      <c r="H58" s="14" t="n"/>
      <c r="I58" s="14" t="n"/>
      <c r="J58" s="14" t="n"/>
      <c r="K58" s="14" t="n"/>
      <c r="L58" s="14" t="n"/>
      <c r="M58" s="14" t="n"/>
      <c r="N58" s="14" t="n"/>
    </row>
    <row r="59">
      <c r="A59" s="11" t="inlineStr">
        <is>
          <t>black-bolt-171</t>
        </is>
      </c>
      <c r="B59" s="11" t="inlineStr">
        <is>
          <t>Black Bolt</t>
        </is>
      </c>
      <c r="C59" s="11" t="inlineStr">
        <is>
          <t>Victini</t>
        </is>
      </c>
      <c r="D59" s="11" t="inlineStr">
        <is>
          <t>171</t>
        </is>
      </c>
      <c r="E59" s="11" t="inlineStr">
        <is>
          <t>Black White Rare</t>
        </is>
      </c>
      <c r="F59" s="19" t="n">
        <v>555.77</v>
      </c>
      <c r="G59" s="20" t="n"/>
      <c r="H59" s="14" t="n"/>
      <c r="I59" s="14" t="n"/>
      <c r="J59" s="14" t="n"/>
      <c r="K59" s="14" t="n"/>
      <c r="L59" s="14" t="n"/>
      <c r="M59" s="14" t="n"/>
      <c r="N59" s="14"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4" t="n"/>
      <c r="I60" s="14" t="n"/>
      <c r="J60" s="14" t="n"/>
      <c r="K60" s="14" t="n"/>
      <c r="L60" s="14" t="n"/>
      <c r="M60" s="14" t="n"/>
      <c r="N60" s="14"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4" t="n"/>
      <c r="I61" s="14" t="n"/>
      <c r="J61" s="15" t="inlineStr">
        <is>
          <t>Yes</t>
        </is>
      </c>
      <c r="K61" s="15" t="inlineStr">
        <is>
          <t>No</t>
        </is>
      </c>
      <c r="L61" s="14" t="n"/>
      <c r="M61" s="14" t="n"/>
      <c r="N61" s="15"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4" t="n"/>
      <c r="I62" s="14" t="n"/>
      <c r="J62" s="14" t="n"/>
      <c r="K62" s="14" t="n"/>
      <c r="L62" s="14" t="n"/>
      <c r="M62" s="14" t="n"/>
      <c r="N62" s="14" t="n"/>
    </row>
    <row r="63">
      <c r="A63" s="11" t="inlineStr">
        <is>
          <t>black-bolt-147</t>
        </is>
      </c>
      <c r="B63" s="11" t="inlineStr">
        <is>
          <t>Black Bolt</t>
        </is>
      </c>
      <c r="C63" s="11" t="inlineStr">
        <is>
          <t>Haxorus</t>
        </is>
      </c>
      <c r="D63" s="11" t="inlineStr">
        <is>
          <t>147</t>
        </is>
      </c>
      <c r="E63" s="11" t="inlineStr">
        <is>
          <t>Illustration rare</t>
        </is>
      </c>
      <c r="F63" s="19" t="n">
        <v>70.5</v>
      </c>
      <c r="G63" s="20" t="n"/>
      <c r="H63" s="14" t="n"/>
      <c r="I63" s="14" t="n"/>
      <c r="J63" s="14" t="n"/>
      <c r="K63" s="14" t="n"/>
      <c r="L63" s="14" t="n"/>
      <c r="M63" s="14" t="n"/>
      <c r="N63" s="14"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4" t="n"/>
      <c r="I64" s="14" t="n"/>
      <c r="J64" s="14" t="n"/>
      <c r="K64" s="14" t="n"/>
      <c r="L64" s="14" t="n"/>
      <c r="M64" s="14" t="n"/>
      <c r="N64" s="14" t="n"/>
    </row>
    <row r="65">
      <c r="A65" s="11" t="inlineStr">
        <is>
          <t>black-bolt-100</t>
        </is>
      </c>
      <c r="B65" s="11" t="inlineStr">
        <is>
          <t>Black Bolt</t>
        </is>
      </c>
      <c r="C65" s="11" t="inlineStr">
        <is>
          <t>Volcarona</t>
        </is>
      </c>
      <c r="D65" s="11" t="inlineStr">
        <is>
          <t>100</t>
        </is>
      </c>
      <c r="E65" s="11" t="inlineStr">
        <is>
          <t>Illustration rare</t>
        </is>
      </c>
      <c r="F65" s="19" t="n">
        <v>59.51</v>
      </c>
      <c r="G65" s="20" t="n"/>
      <c r="H65" s="14" t="n"/>
      <c r="I65" s="14" t="n"/>
      <c r="J65" s="14" t="n"/>
      <c r="K65" s="14" t="n"/>
      <c r="L65" s="14" t="n"/>
      <c r="M65" s="14" t="n"/>
      <c r="N65" s="14"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4" t="n"/>
      <c r="I66" s="14" t="n"/>
      <c r="J66" s="15" t="inlineStr">
        <is>
          <t>Yes</t>
        </is>
      </c>
      <c r="K66" s="15" t="inlineStr">
        <is>
          <t>No</t>
        </is>
      </c>
      <c r="L66" s="14" t="n"/>
      <c r="M66" s="14" t="n"/>
      <c r="N66" s="15"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4" t="n"/>
      <c r="I67" s="14" t="n"/>
      <c r="J67" s="14" t="n"/>
      <c r="K67" s="14" t="n"/>
      <c r="L67" s="14" t="n"/>
      <c r="M67" s="14" t="n"/>
      <c r="N67" s="14"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4" t="n"/>
      <c r="I68" s="14" t="n"/>
      <c r="J68" s="14" t="n"/>
      <c r="K68" s="14" t="n"/>
      <c r="L68" s="14" t="n"/>
      <c r="M68" s="14" t="n"/>
      <c r="N68" s="14"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4" t="n"/>
      <c r="I69" s="14" t="n"/>
      <c r="J69" s="14" t="n"/>
      <c r="K69" s="14" t="n"/>
      <c r="L69" s="14" t="n"/>
      <c r="M69" s="14" t="n"/>
      <c r="N69" s="14"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4" t="n"/>
      <c r="I70" s="14" t="n"/>
      <c r="J70" s="14" t="n"/>
      <c r="K70" s="14" t="n"/>
      <c r="L70" s="14" t="n"/>
      <c r="M70" s="14" t="n"/>
      <c r="N70" s="14"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4" t="n"/>
      <c r="I71" s="14" t="n"/>
      <c r="J71" s="14" t="n"/>
      <c r="K71" s="14" t="n"/>
      <c r="L71" s="14" t="n"/>
      <c r="M71" s="14" t="n"/>
      <c r="N71" s="14"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4" t="n"/>
      <c r="I72" s="14" t="n"/>
      <c r="J72" s="14" t="n"/>
      <c r="K72" s="14" t="n"/>
      <c r="L72" s="14" t="n"/>
      <c r="M72" s="14" t="n"/>
      <c r="N72" s="14"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4" t="n"/>
      <c r="I73" s="14" t="n"/>
      <c r="J73" s="14" t="n"/>
      <c r="K73" s="14" t="n"/>
      <c r="L73" s="14" t="n"/>
      <c r="M73" s="14" t="n"/>
      <c r="N73" s="14"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4" t="n"/>
      <c r="I74" s="14" t="n"/>
      <c r="J74" s="14" t="n"/>
      <c r="K74" s="14" t="n"/>
      <c r="L74" s="14" t="n"/>
      <c r="M74" s="14" t="n"/>
      <c r="N74" s="14"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4" t="n"/>
      <c r="I75" s="14" t="n"/>
      <c r="J75" s="14" t="n"/>
      <c r="K75" s="14" t="n"/>
      <c r="L75" s="14" t="n"/>
      <c r="M75" s="14" t="n"/>
      <c r="N75" s="14"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4" t="n"/>
      <c r="I76" s="14" t="n"/>
      <c r="J76" s="14" t="n"/>
      <c r="K76" s="14" t="n"/>
      <c r="L76" s="14" t="n"/>
      <c r="M76" s="14" t="n"/>
      <c r="N76" s="14"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4" t="n"/>
      <c r="I77" s="14" t="n"/>
      <c r="J77" s="14" t="n"/>
      <c r="K77" s="14" t="n"/>
      <c r="L77" s="14" t="n"/>
      <c r="M77" s="14" t="n"/>
      <c r="N77" s="14"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4" t="n"/>
      <c r="I78" s="14" t="n"/>
      <c r="J78" s="14" t="n"/>
      <c r="K78" s="14" t="n"/>
      <c r="L78" s="14" t="n"/>
      <c r="M78" s="14" t="n"/>
      <c r="N78" s="14"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4" t="n"/>
      <c r="I79" s="14" t="n"/>
      <c r="J79" s="14" t="n"/>
      <c r="K79" s="14" t="n"/>
      <c r="L79" s="14" t="n"/>
      <c r="M79" s="14" t="n"/>
      <c r="N79" s="14"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4" t="n"/>
      <c r="I80" s="14" t="n"/>
      <c r="J80" s="14" t="n"/>
      <c r="K80" s="14" t="n"/>
      <c r="L80" s="14" t="n"/>
      <c r="M80" s="14" t="n"/>
      <c r="N80" s="14"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4" t="n"/>
      <c r="I81" s="14" t="n"/>
      <c r="J81" s="14" t="n"/>
      <c r="K81" s="14" t="n"/>
      <c r="L81" s="14" t="n"/>
      <c r="M81" s="14" t="n"/>
      <c r="N81" s="14"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4" t="n"/>
      <c r="I82" s="14" t="n"/>
      <c r="J82" s="14" t="n"/>
      <c r="K82" s="14" t="n"/>
      <c r="L82" s="14" t="n"/>
      <c r="M82" s="14" t="n"/>
      <c r="N82" s="14"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4" t="n"/>
      <c r="I83" s="14" t="n"/>
      <c r="J83" s="14" t="n"/>
      <c r="K83" s="14" t="n"/>
      <c r="L83" s="14" t="n"/>
      <c r="M83" s="14" t="n"/>
      <c r="N83" s="14"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4" t="n"/>
      <c r="I84" s="14" t="n"/>
      <c r="J84" s="14" t="n"/>
      <c r="K84" s="14" t="n"/>
      <c r="L84" s="14" t="n"/>
      <c r="M84" s="14" t="n"/>
      <c r="N84" s="14"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4" t="n"/>
      <c r="I85" s="14" t="n"/>
      <c r="J85" s="14" t="n"/>
      <c r="K85" s="14" t="n"/>
      <c r="L85" s="14" t="n"/>
      <c r="M85" s="14" t="n"/>
      <c r="N85" s="14"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4" t="n"/>
      <c r="I86" s="14" t="n"/>
      <c r="J86" s="14" t="n"/>
      <c r="K86" s="14" t="n"/>
      <c r="L86" s="14" t="n"/>
      <c r="M86" s="14" t="n"/>
      <c r="N86" s="14"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4" t="n"/>
      <c r="I87" s="14" t="n"/>
      <c r="J87" s="14" t="n"/>
      <c r="K87" s="14" t="n"/>
      <c r="L87" s="14" t="n"/>
      <c r="M87" s="14" t="n"/>
      <c r="N87" s="14"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4" t="n"/>
      <c r="I88" s="14" t="n"/>
      <c r="J88" s="14" t="n"/>
      <c r="K88" s="14" t="n"/>
      <c r="L88" s="14" t="n"/>
      <c r="M88" s="14" t="n"/>
      <c r="N88" s="14"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4" t="n"/>
      <c r="I89" s="14" t="n"/>
      <c r="J89" s="14" t="n"/>
      <c r="K89" s="14" t="n"/>
      <c r="L89" s="14" t="n"/>
      <c r="M89" s="14" t="n"/>
      <c r="N89" s="14"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4" t="n"/>
      <c r="I90" s="14" t="n"/>
      <c r="J90" s="14" t="n"/>
      <c r="K90" s="14" t="n"/>
      <c r="L90" s="14" t="n"/>
      <c r="M90" s="14" t="n"/>
      <c r="N90" s="14"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4" t="n"/>
      <c r="I91" s="14" t="n"/>
      <c r="J91" s="14" t="n"/>
      <c r="K91" s="14" t="n"/>
      <c r="L91" s="14" t="n"/>
      <c r="M91" s="14" t="n"/>
      <c r="N91" s="14"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4" t="n"/>
      <c r="I92" s="14" t="n"/>
      <c r="J92" s="14" t="n"/>
      <c r="K92" s="14" t="n"/>
      <c r="L92" s="14" t="n"/>
      <c r="M92" s="14" t="n"/>
      <c r="N92" s="14"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4" t="n"/>
      <c r="I93" s="14" t="n"/>
      <c r="J93" s="14" t="n"/>
      <c r="K93" s="14" t="n"/>
      <c r="L93" s="14" t="n"/>
      <c r="M93" s="14" t="n"/>
      <c r="N93" s="14"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4" t="n"/>
      <c r="I94" s="14" t="n"/>
      <c r="J94" s="14" t="n"/>
      <c r="K94" s="14" t="n"/>
      <c r="L94" s="14" t="n"/>
      <c r="M94" s="14" t="n"/>
      <c r="N94" s="14"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4" t="n"/>
      <c r="I95" s="14" t="n"/>
      <c r="J95" s="14" t="n"/>
      <c r="K95" s="14" t="n"/>
      <c r="L95" s="14" t="n"/>
      <c r="M95" s="14" t="n"/>
      <c r="N95" s="14"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4" t="n"/>
      <c r="I96" s="14" t="n"/>
      <c r="J96" s="14" t="n"/>
      <c r="K96" s="14" t="n"/>
      <c r="L96" s="14" t="n"/>
      <c r="M96" s="14" t="n"/>
      <c r="N96" s="14"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4" t="n"/>
      <c r="I97" s="14" t="n"/>
      <c r="J97" s="14" t="n"/>
      <c r="K97" s="14" t="n"/>
      <c r="L97" s="14" t="n"/>
      <c r="M97" s="14" t="n"/>
      <c r="N97" s="14"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4" t="n"/>
      <c r="I98" s="14" t="n"/>
      <c r="J98" s="14" t="n"/>
      <c r="K98" s="14" t="n"/>
      <c r="L98" s="14" t="n"/>
      <c r="M98" s="14" t="n"/>
      <c r="N98" s="14"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4" t="n"/>
      <c r="I99" s="14" t="n"/>
      <c r="J99" s="14" t="n"/>
      <c r="K99" s="14" t="n"/>
      <c r="L99" s="14" t="n"/>
      <c r="M99" s="14" t="n"/>
      <c r="N99" s="14"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4" t="n"/>
      <c r="I100" s="14" t="n"/>
      <c r="J100" s="14" t="n"/>
      <c r="K100" s="14" t="n"/>
      <c r="L100" s="14" t="n"/>
      <c r="M100" s="14" t="n"/>
      <c r="N100" s="14"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4" t="n"/>
      <c r="I101" s="14" t="n"/>
      <c r="J101" s="14" t="n"/>
      <c r="K101" s="14" t="n"/>
      <c r="L101" s="14" t="n"/>
      <c r="M101" s="14" t="n"/>
      <c r="N101" s="14"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4" t="n"/>
      <c r="I102" s="14" t="n"/>
      <c r="J102" s="14" t="n"/>
      <c r="K102" s="14" t="n"/>
      <c r="L102" s="14" t="n"/>
      <c r="M102" s="14" t="n"/>
      <c r="N102" s="14"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4" t="n"/>
      <c r="I103" s="14" t="n"/>
      <c r="J103" s="14" t="n"/>
      <c r="K103" s="14" t="n"/>
      <c r="L103" s="14" t="n"/>
      <c r="M103" s="14" t="n"/>
      <c r="N103" s="14"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4" t="n"/>
      <c r="I104" s="14" t="n"/>
      <c r="J104" s="14" t="n"/>
      <c r="K104" s="14" t="n"/>
      <c r="L104" s="14" t="n"/>
      <c r="M104" s="14" t="n"/>
      <c r="N104" s="14"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4" t="n"/>
      <c r="I105" s="14" t="n"/>
      <c r="J105" s="14" t="n"/>
      <c r="K105" s="14" t="n"/>
      <c r="L105" s="14" t="n"/>
      <c r="M105" s="14" t="n"/>
      <c r="N105" s="14"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4" t="n"/>
      <c r="I106" s="14" t="n"/>
      <c r="J106" s="14" t="n"/>
      <c r="K106" s="14" t="n"/>
      <c r="L106" s="14" t="n"/>
      <c r="M106" s="14" t="n"/>
      <c r="N106" s="14"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4" t="n"/>
      <c r="I107" s="14" t="n"/>
      <c r="J107" s="14" t="n"/>
      <c r="K107" s="14" t="n"/>
      <c r="L107" s="14" t="n"/>
      <c r="M107" s="14" t="n"/>
      <c r="N107" s="14"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4" t="n"/>
      <c r="I108" s="14" t="n"/>
      <c r="J108" s="14" t="n"/>
      <c r="K108" s="14" t="n"/>
      <c r="L108" s="14" t="n"/>
      <c r="M108" s="14" t="n"/>
      <c r="N108" s="14"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4" t="n"/>
      <c r="I109" s="14" t="n"/>
      <c r="J109" s="14" t="n"/>
      <c r="K109" s="14" t="n"/>
      <c r="L109" s="14" t="n"/>
      <c r="M109" s="14" t="n"/>
      <c r="N109" s="14"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4" t="n"/>
      <c r="I110" s="14" t="n"/>
      <c r="J110" s="14" t="n"/>
      <c r="K110" s="14" t="n"/>
      <c r="L110" s="14" t="n"/>
      <c r="M110" s="14" t="n"/>
      <c r="N110" s="14"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4" t="n"/>
      <c r="I111" s="14" t="n"/>
      <c r="J111" s="14" t="n"/>
      <c r="K111" s="14" t="n"/>
      <c r="L111" s="14" t="n"/>
      <c r="M111" s="14" t="n"/>
      <c r="N111" s="14"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4" t="n"/>
      <c r="I112" s="14" t="n"/>
      <c r="J112" s="14" t="n"/>
      <c r="K112" s="14" t="n"/>
      <c r="L112" s="14" t="n"/>
      <c r="M112" s="14" t="n"/>
      <c r="N112" s="14"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4" t="n"/>
      <c r="I113" s="14" t="n"/>
      <c r="J113" s="14" t="n"/>
      <c r="K113" s="14" t="n"/>
      <c r="L113" s="14" t="n"/>
      <c r="M113" s="14" t="n"/>
      <c r="N113" s="14"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4" t="n"/>
      <c r="I114" s="14" t="n"/>
      <c r="J114" s="14" t="n"/>
      <c r="K114" s="14" t="n"/>
      <c r="L114" s="14" t="n"/>
      <c r="M114" s="14" t="n"/>
      <c r="N114" s="14"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4" t="n"/>
      <c r="I115" s="14" t="n"/>
      <c r="J115" s="14" t="n"/>
      <c r="K115" s="14" t="n"/>
      <c r="L115" s="14" t="n"/>
      <c r="M115" s="14" t="n"/>
      <c r="N115" s="14"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4" t="n"/>
      <c r="I116" s="14" t="n"/>
      <c r="J116" s="14" t="n"/>
      <c r="K116" s="14" t="n"/>
      <c r="L116" s="14" t="n"/>
      <c r="M116" s="14" t="n"/>
      <c r="N116" s="14"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4" t="n"/>
      <c r="I117" s="14" t="n"/>
      <c r="J117" s="14" t="n"/>
      <c r="K117" s="14" t="n"/>
      <c r="L117" s="14" t="n"/>
      <c r="M117" s="14" t="n"/>
      <c r="N117" s="14"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4" t="n"/>
      <c r="I118" s="14" t="n"/>
      <c r="J118" s="14" t="n"/>
      <c r="K118" s="14" t="n"/>
      <c r="L118" s="14" t="n"/>
      <c r="M118" s="14" t="n"/>
      <c r="N118" s="14"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4" t="n"/>
      <c r="I119" s="14" t="n"/>
      <c r="J119" s="14" t="n"/>
      <c r="K119" s="14" t="n"/>
      <c r="L119" s="14" t="n"/>
      <c r="M119" s="14" t="n"/>
      <c r="N119" s="14"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4" t="n"/>
      <c r="I120" s="14" t="n"/>
      <c r="J120" s="14" t="n"/>
      <c r="K120" s="14" t="n"/>
      <c r="L120" s="14" t="n"/>
      <c r="M120" s="14" t="n"/>
      <c r="N120" s="14"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4" t="n"/>
      <c r="I121" s="14" t="n"/>
      <c r="J121" s="14" t="n"/>
      <c r="K121" s="14" t="n"/>
      <c r="L121" s="14" t="n"/>
      <c r="M121" s="14" t="n"/>
      <c r="N121" s="14"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4" t="n"/>
      <c r="I122" s="14" t="n"/>
      <c r="J122" s="14" t="n"/>
      <c r="K122" s="14" t="n"/>
      <c r="L122" s="14" t="n"/>
      <c r="M122" s="14" t="n"/>
      <c r="N122" s="14"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4" t="n"/>
      <c r="I123" s="14" t="n"/>
      <c r="J123" s="14" t="n"/>
      <c r="K123" s="14" t="n"/>
      <c r="L123" s="14" t="n"/>
      <c r="M123" s="14" t="n"/>
      <c r="N123" s="14"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4" t="n"/>
      <c r="I124" s="14" t="n"/>
      <c r="J124" s="14" t="n"/>
      <c r="K124" s="14" t="n"/>
      <c r="L124" s="14" t="n"/>
      <c r="M124" s="14" t="n"/>
      <c r="N124" s="14"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4" t="n"/>
      <c r="I125" s="14" t="n"/>
      <c r="J125" s="14" t="n"/>
      <c r="K125" s="14" t="n"/>
      <c r="L125" s="14" t="n"/>
      <c r="M125" s="14" t="n"/>
      <c r="N125" s="14"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4" t="n"/>
      <c r="I126" s="14" t="n"/>
      <c r="J126" s="14" t="n"/>
      <c r="K126" s="14" t="n"/>
      <c r="L126" s="14" t="n"/>
      <c r="M126" s="14" t="n"/>
      <c r="N126" s="14"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4" t="n"/>
      <c r="I127" s="14" t="n"/>
      <c r="J127" s="14" t="n"/>
      <c r="K127" s="14" t="n"/>
      <c r="L127" s="14" t="n"/>
      <c r="M127" s="14" t="n"/>
      <c r="N127" s="14"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4" t="n"/>
      <c r="I128" s="14" t="n"/>
      <c r="J128" s="14" t="n"/>
      <c r="K128" s="14" t="n"/>
      <c r="L128" s="14" t="n"/>
      <c r="M128" s="14" t="n"/>
      <c r="N128" s="14"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4" t="n"/>
      <c r="I129" s="14" t="n"/>
      <c r="J129" s="14" t="n"/>
      <c r="K129" s="14" t="n"/>
      <c r="L129" s="14" t="n"/>
      <c r="M129" s="14" t="n"/>
      <c r="N129" s="14"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4" t="n"/>
      <c r="I130" s="14" t="n"/>
      <c r="J130" s="14" t="n"/>
      <c r="K130" s="14" t="n"/>
      <c r="L130" s="14" t="n"/>
      <c r="M130" s="14" t="n"/>
      <c r="N130" s="14"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4" t="n"/>
      <c r="I131" s="14" t="n"/>
      <c r="J131" s="14" t="n"/>
      <c r="K131" s="14" t="n"/>
      <c r="L131" s="14" t="n"/>
      <c r="M131" s="14" t="n"/>
      <c r="N131" s="14"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4" t="n"/>
      <c r="I132" s="14" t="n"/>
      <c r="J132" s="14" t="n"/>
      <c r="K132" s="14" t="n"/>
      <c r="L132" s="14" t="n"/>
      <c r="M132" s="14" t="n"/>
      <c r="N132" s="14"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4" t="n"/>
      <c r="I133" s="14" t="n"/>
      <c r="J133" s="14" t="n"/>
      <c r="K133" s="14" t="n"/>
      <c r="L133" s="14" t="n"/>
      <c r="M133" s="14" t="n"/>
      <c r="N133" s="14"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4" t="n"/>
      <c r="I134" s="14" t="n"/>
      <c r="J134" s="14" t="n"/>
      <c r="K134" s="14" t="n"/>
      <c r="L134" s="14" t="n"/>
      <c r="M134" s="14" t="n"/>
      <c r="N134" s="14"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4" t="n"/>
      <c r="I135" s="14" t="n"/>
      <c r="J135" s="14" t="n"/>
      <c r="K135" s="14" t="n"/>
      <c r="L135" s="14" t="n"/>
      <c r="M135" s="14" t="n"/>
      <c r="N135" s="14"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4" t="n"/>
      <c r="I136" s="14" t="n"/>
      <c r="J136" s="14" t="n"/>
      <c r="K136" s="14" t="n"/>
      <c r="L136" s="14" t="n"/>
      <c r="M136" s="14" t="n"/>
      <c r="N136" s="14"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4" t="n"/>
      <c r="I137" s="14" t="n"/>
      <c r="J137" s="14" t="n"/>
      <c r="K137" s="14" t="n"/>
      <c r="L137" s="14" t="n"/>
      <c r="M137" s="14" t="n"/>
      <c r="N137" s="14"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4" t="n"/>
      <c r="I138" s="14" t="n"/>
      <c r="J138" s="14" t="n"/>
      <c r="K138" s="14" t="n"/>
      <c r="L138" s="14" t="n"/>
      <c r="M138" s="14" t="n"/>
      <c r="N138" s="14"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4" t="n"/>
      <c r="I139" s="14" t="n"/>
      <c r="J139" s="14" t="n"/>
      <c r="K139" s="14" t="n"/>
      <c r="L139" s="14" t="n"/>
      <c r="M139" s="14" t="n"/>
      <c r="N139" s="14"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4" t="n"/>
      <c r="I140" s="14" t="n"/>
      <c r="J140" s="14" t="n"/>
      <c r="K140" s="14" t="n"/>
      <c r="L140" s="14" t="n"/>
      <c r="M140" s="14" t="n"/>
      <c r="N140" s="14"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4" t="n"/>
      <c r="I141" s="14" t="n"/>
      <c r="J141" s="14" t="n"/>
      <c r="K141" s="14" t="n"/>
      <c r="L141" s="14" t="n"/>
      <c r="M141" s="14" t="n"/>
      <c r="N141" s="14"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4" t="n"/>
      <c r="I142" s="14" t="n"/>
      <c r="J142" s="14" t="n"/>
      <c r="K142" s="14" t="n"/>
      <c r="L142" s="14" t="n"/>
      <c r="M142" s="14" t="n"/>
      <c r="N142" s="14"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4" t="n"/>
      <c r="I143" s="14" t="n"/>
      <c r="J143" s="14" t="n"/>
      <c r="K143" s="14" t="n"/>
      <c r="L143" s="14" t="n"/>
      <c r="M143" s="14" t="n"/>
      <c r="N143" s="14"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4" t="n"/>
      <c r="I144" s="14" t="n"/>
      <c r="J144" s="14" t="n"/>
      <c r="K144" s="14" t="n"/>
      <c r="L144" s="14" t="n"/>
      <c r="M144" s="14" t="n"/>
      <c r="N144" s="14"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4" t="n"/>
      <c r="I145" s="14" t="n"/>
      <c r="J145" s="14" t="n"/>
      <c r="K145" s="14" t="n"/>
      <c r="L145" s="14" t="n"/>
      <c r="M145" s="14" t="n"/>
      <c r="N145" s="14"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4" t="n"/>
      <c r="I146" s="14" t="n"/>
      <c r="J146" s="14" t="n"/>
      <c r="K146" s="14" t="n"/>
      <c r="L146" s="14" t="n"/>
      <c r="M146" s="14" t="n"/>
      <c r="N146" s="14"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4" t="n"/>
      <c r="I147" s="14" t="n"/>
      <c r="J147" s="14" t="n"/>
      <c r="K147" s="14" t="n"/>
      <c r="L147" s="14" t="n"/>
      <c r="M147" s="14" t="n"/>
      <c r="N147" s="14"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4" t="n"/>
      <c r="I148" s="14" t="n"/>
      <c r="J148" s="14" t="n"/>
      <c r="K148" s="14" t="n"/>
      <c r="L148" s="14" t="n"/>
      <c r="M148" s="14" t="n"/>
      <c r="N148" s="14"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4" t="n"/>
      <c r="I149" s="14" t="n"/>
      <c r="J149" s="14" t="n"/>
      <c r="K149" s="14" t="n"/>
      <c r="L149" s="14" t="n"/>
      <c r="M149" s="14" t="n"/>
      <c r="N149" s="14" t="n"/>
    </row>
    <row r="150">
      <c r="A150" s="11" t="inlineStr">
        <is>
          <t>151-168</t>
        </is>
      </c>
      <c r="B150" s="11" t="inlineStr">
        <is>
          <t>151</t>
        </is>
      </c>
      <c r="C150" s="11" t="inlineStr">
        <is>
          <t>Charmander</t>
        </is>
      </c>
      <c r="D150" s="11" t="inlineStr">
        <is>
          <t>168</t>
        </is>
      </c>
      <c r="E150" s="11" t="inlineStr">
        <is>
          <t>Illustration rare</t>
        </is>
      </c>
      <c r="F150" s="19" t="n">
        <v>89</v>
      </c>
      <c r="G150" s="20" t="n"/>
      <c r="H150" s="14" t="n"/>
      <c r="I150" s="14" t="n"/>
      <c r="J150" s="14" t="n"/>
      <c r="K150" s="14" t="n"/>
      <c r="L150" s="14" t="n"/>
      <c r="M150" s="14" t="n"/>
      <c r="N150" s="14" t="n"/>
    </row>
    <row r="151">
      <c r="A151" s="11" t="inlineStr">
        <is>
          <t>151-173</t>
        </is>
      </c>
      <c r="B151" s="11" t="inlineStr">
        <is>
          <t>151</t>
        </is>
      </c>
      <c r="C151" s="11" t="inlineStr">
        <is>
          <t>Pikachu</t>
        </is>
      </c>
      <c r="D151" s="11" t="inlineStr">
        <is>
          <t>173</t>
        </is>
      </c>
      <c r="E151" s="11" t="inlineStr">
        <is>
          <t>Illustration rare</t>
        </is>
      </c>
      <c r="F151" s="19" t="n">
        <v>86.34</v>
      </c>
      <c r="G151" s="20" t="n"/>
      <c r="H151" s="14" t="n"/>
      <c r="I151" s="14" t="n"/>
      <c r="J151" s="14" t="n"/>
      <c r="K151" s="14" t="n"/>
      <c r="L151" s="14" t="n"/>
      <c r="M151" s="14" t="n"/>
      <c r="N151" s="14" t="n"/>
    </row>
    <row r="152">
      <c r="A152" s="11" t="inlineStr">
        <is>
          <t>151-170</t>
        </is>
      </c>
      <c r="B152" s="11" t="inlineStr">
        <is>
          <t>151</t>
        </is>
      </c>
      <c r="C152" s="11" t="inlineStr">
        <is>
          <t>Squirtle</t>
        </is>
      </c>
      <c r="D152" s="11" t="inlineStr">
        <is>
          <t>170</t>
        </is>
      </c>
      <c r="E152" s="11" t="inlineStr">
        <is>
          <t>Illustration rare</t>
        </is>
      </c>
      <c r="F152" s="19" t="n">
        <v>85.55</v>
      </c>
      <c r="G152" s="20" t="n"/>
      <c r="H152" s="14" t="n"/>
      <c r="I152" s="14" t="n"/>
      <c r="J152" s="14" t="n"/>
      <c r="K152" s="14" t="n"/>
      <c r="L152" s="14" t="n"/>
      <c r="M152" s="14" t="n"/>
      <c r="N152" s="14"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4" t="n"/>
      <c r="I153" s="14" t="n"/>
      <c r="J153" s="14" t="n"/>
      <c r="K153" s="14" t="n"/>
      <c r="L153" s="14" t="n"/>
      <c r="M153" s="14" t="n"/>
      <c r="N153" s="14"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4" t="n"/>
      <c r="I154" s="14" t="n"/>
      <c r="J154" s="14" t="n"/>
      <c r="K154" s="14" t="n"/>
      <c r="L154" s="14" t="n"/>
      <c r="M154" s="14" t="n"/>
      <c r="N154" s="14"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4" t="n"/>
      <c r="I155" s="14" t="n"/>
      <c r="J155" s="14" t="n"/>
      <c r="K155" s="14" t="n"/>
      <c r="L155" s="14" t="n"/>
      <c r="M155" s="14" t="n"/>
      <c r="N155" s="14"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4" t="n"/>
      <c r="I156" s="14" t="n"/>
      <c r="J156" s="14" t="n"/>
      <c r="K156" s="14" t="n"/>
      <c r="L156" s="14" t="n"/>
      <c r="M156" s="14" t="n"/>
      <c r="N156" s="14"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4" t="n"/>
      <c r="I157" s="14" t="n"/>
      <c r="J157" s="14" t="n"/>
      <c r="K157" s="14" t="n"/>
      <c r="L157" s="14" t="n"/>
      <c r="M157" s="14" t="n"/>
      <c r="N157" s="14"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4" t="n"/>
      <c r="I158" s="14" t="n"/>
      <c r="J158" s="14" t="n"/>
      <c r="K158" s="14" t="n"/>
      <c r="L158" s="14" t="n"/>
      <c r="M158" s="14" t="n"/>
      <c r="N158" s="14"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4" t="n"/>
      <c r="I159" s="14" t="n"/>
      <c r="J159" s="14" t="n"/>
      <c r="K159" s="14" t="n"/>
      <c r="L159" s="14" t="n"/>
      <c r="M159" s="14" t="n"/>
      <c r="N159" s="14"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4" t="n"/>
      <c r="I160" s="14" t="n"/>
      <c r="J160" s="14" t="n"/>
      <c r="K160" s="14" t="n"/>
      <c r="L160" s="14" t="n"/>
      <c r="M160" s="14" t="n"/>
      <c r="N160" s="14"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4" t="n"/>
      <c r="I161" s="14" t="n"/>
      <c r="J161" s="14" t="n"/>
      <c r="K161" s="14" t="n"/>
      <c r="L161" s="14" t="n"/>
      <c r="M161" s="14" t="n"/>
      <c r="N161" s="14"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4" t="n"/>
      <c r="I162" s="14" t="n"/>
      <c r="J162" s="14" t="n"/>
      <c r="K162" s="14" t="n"/>
      <c r="L162" s="14" t="n"/>
      <c r="M162" s="14" t="n"/>
      <c r="N162" s="14"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4" t="n"/>
      <c r="I163" s="14" t="n"/>
      <c r="J163" s="14" t="n"/>
      <c r="K163" s="14" t="n"/>
      <c r="L163" s="14" t="n"/>
      <c r="M163" s="14" t="n"/>
      <c r="N163" s="14"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4" t="n"/>
      <c r="I164" s="14" t="n"/>
      <c r="J164" s="14" t="n"/>
      <c r="K164" s="14" t="n"/>
      <c r="L164" s="14" t="n"/>
      <c r="M164" s="14" t="n"/>
      <c r="N164" s="14"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4" t="n"/>
      <c r="I165" s="14" t="n"/>
      <c r="J165" s="14" t="n"/>
      <c r="K165" s="14" t="n"/>
      <c r="L165" s="14" t="n"/>
      <c r="M165" s="14" t="n"/>
      <c r="N165" s="14"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4" t="n"/>
      <c r="I166" s="14" t="n"/>
      <c r="J166" s="14" t="n"/>
      <c r="K166" s="14" t="n"/>
      <c r="L166" s="14" t="n"/>
      <c r="M166" s="14" t="n"/>
      <c r="N166" s="14"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4" t="n"/>
      <c r="I167" s="14" t="n"/>
      <c r="J167" s="14" t="n"/>
      <c r="K167" s="14" t="n"/>
      <c r="L167" s="14" t="n"/>
      <c r="M167" s="14" t="n"/>
      <c r="N167" s="14"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4" t="n"/>
      <c r="I168" s="14" t="n"/>
      <c r="J168" s="14" t="n"/>
      <c r="K168" s="14" t="n"/>
      <c r="L168" s="14" t="n"/>
      <c r="M168" s="14" t="n"/>
      <c r="N168" s="14"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4" t="n"/>
      <c r="I169" s="14" t="n"/>
      <c r="J169" s="14" t="n"/>
      <c r="K169" s="14" t="n"/>
      <c r="L169" s="14" t="n"/>
      <c r="M169" s="14" t="n"/>
      <c r="N169" s="14"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4" t="n"/>
      <c r="I170" s="14" t="n"/>
      <c r="J170" s="14" t="n"/>
      <c r="K170" s="14" t="n"/>
      <c r="L170" s="14" t="n"/>
      <c r="M170" s="14" t="n"/>
      <c r="N170" s="14"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4" t="n"/>
      <c r="I171" s="14" t="n"/>
      <c r="J171" s="14" t="n"/>
      <c r="K171" s="14" t="n"/>
      <c r="L171" s="14" t="n"/>
      <c r="M171" s="14" t="n"/>
      <c r="N171" s="14"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4" t="n"/>
      <c r="I172" s="14" t="n"/>
      <c r="J172" s="14" t="n"/>
      <c r="K172" s="14" t="n"/>
      <c r="L172" s="14" t="n"/>
      <c r="M172" s="14" t="n"/>
      <c r="N172" s="14"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4" t="n"/>
      <c r="I173" s="14" t="n"/>
      <c r="J173" s="14" t="n"/>
      <c r="K173" s="14" t="n"/>
      <c r="L173" s="14" t="n"/>
      <c r="M173" s="14" t="n"/>
      <c r="N173" s="14"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4" t="n"/>
      <c r="I174" s="14" t="n"/>
      <c r="J174" s="14" t="n"/>
      <c r="K174" s="14" t="n"/>
      <c r="L174" s="14" t="n"/>
      <c r="M174" s="14" t="n"/>
      <c r="N174" s="14"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4" t="n"/>
      <c r="I175" s="14" t="n"/>
      <c r="J175" s="14" t="n"/>
      <c r="K175" s="14" t="n"/>
      <c r="L175" s="14" t="n"/>
      <c r="M175" s="14" t="n"/>
      <c r="N175" s="14"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4" t="n"/>
      <c r="I176" s="14" t="n"/>
      <c r="J176" s="14" t="n"/>
      <c r="K176" s="14" t="n"/>
      <c r="L176" s="14" t="n"/>
      <c r="M176" s="14" t="n"/>
      <c r="N176" s="14"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4" t="n"/>
      <c r="I177" s="14" t="n"/>
      <c r="J177" s="14" t="n"/>
      <c r="K177" s="14" t="n"/>
      <c r="L177" s="14" t="n"/>
      <c r="M177" s="14" t="n"/>
      <c r="N177" s="14"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4" t="n"/>
      <c r="I178" s="14" t="n"/>
      <c r="J178" s="14" t="n"/>
      <c r="K178" s="14" t="n"/>
      <c r="L178" s="14" t="n"/>
      <c r="M178" s="14" t="n"/>
      <c r="N178" s="14"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4" t="n"/>
      <c r="I179" s="14" t="n"/>
      <c r="J179" s="14" t="n"/>
      <c r="K179" s="14" t="n"/>
      <c r="L179" s="14" t="n"/>
      <c r="M179" s="14" t="n"/>
      <c r="N179" s="14"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4" t="n"/>
      <c r="I180" s="14" t="n"/>
      <c r="J180" s="14" t="n"/>
      <c r="K180" s="14" t="n"/>
      <c r="L180" s="14" t="n"/>
      <c r="M180" s="14" t="n"/>
      <c r="N180" s="14"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4" t="n"/>
      <c r="I181" s="14" t="n"/>
      <c r="J181" s="14" t="n"/>
      <c r="K181" s="14" t="n"/>
      <c r="L181" s="14" t="n"/>
      <c r="M181" s="14" t="n"/>
      <c r="N181" s="14"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4" t="n"/>
      <c r="I182" s="14" t="n"/>
      <c r="J182" s="14" t="n"/>
      <c r="K182" s="14" t="n"/>
      <c r="L182" s="14" t="n"/>
      <c r="M182" s="14" t="n"/>
      <c r="N182" s="14" t="n"/>
    </row>
    <row r="183">
      <c r="A183" s="11" t="inlineStr">
        <is>
          <t>crown-zenith-109</t>
        </is>
      </c>
      <c r="B183" s="11" t="inlineStr">
        <is>
          <t>Crown Zenith</t>
        </is>
      </c>
      <c r="C183" s="11" t="inlineStr">
        <is>
          <t>Snorlax</t>
        </is>
      </c>
      <c r="D183" s="11" t="inlineStr">
        <is>
          <t>109</t>
        </is>
      </c>
      <c r="E183" s="11" t="inlineStr">
        <is>
          <t>Rare</t>
        </is>
      </c>
      <c r="F183" s="19" t="n">
        <v>10.74</v>
      </c>
      <c r="G183" s="20" t="n"/>
      <c r="H183" s="14" t="n"/>
      <c r="I183" s="14" t="n"/>
      <c r="J183" s="14" t="n"/>
      <c r="K183" s="14" t="n"/>
      <c r="L183" s="14" t="n"/>
      <c r="M183" s="14" t="n"/>
      <c r="N183" s="14"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4" t="n"/>
      <c r="I184" s="14" t="n"/>
      <c r="J184" s="14" t="n"/>
      <c r="K184" s="14" t="n"/>
      <c r="L184" s="14" t="n"/>
      <c r="M184" s="14" t="n"/>
      <c r="N184" s="14"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4" t="n"/>
      <c r="I185" s="14" t="n"/>
      <c r="J185" s="14" t="n"/>
      <c r="K185" s="14" t="n"/>
      <c r="L185" s="14" t="n"/>
      <c r="M185" s="14" t="n"/>
      <c r="N185" s="14" t="n"/>
    </row>
    <row r="186">
      <c r="A186" s="11" t="inlineStr">
        <is>
          <t>pokemon-go-72</t>
        </is>
      </c>
      <c r="B186" s="11" t="inlineStr">
        <is>
          <t>Pokémon GO</t>
        </is>
      </c>
      <c r="C186" s="11" t="inlineStr">
        <is>
          <t>Mewtwo V</t>
        </is>
      </c>
      <c r="D186" s="11" t="inlineStr">
        <is>
          <t>72</t>
        </is>
      </c>
      <c r="E186" s="11" t="inlineStr">
        <is>
          <t>Ultra Rare</t>
        </is>
      </c>
      <c r="F186" s="19" t="n">
        <v>60</v>
      </c>
      <c r="G186" s="20" t="n"/>
      <c r="H186" s="14" t="n"/>
      <c r="I186" s="14" t="n"/>
      <c r="J186" s="14" t="n"/>
      <c r="K186" s="14" t="n"/>
      <c r="L186" s="14" t="n"/>
      <c r="M186" s="14" t="n"/>
      <c r="N186" s="14"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4" t="n"/>
      <c r="I187" s="14" t="n"/>
      <c r="J187" s="14" t="n"/>
      <c r="K187" s="14" t="n"/>
      <c r="L187" s="14" t="n"/>
      <c r="M187" s="14" t="n"/>
      <c r="N187" s="14"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4" t="n"/>
      <c r="I188" s="14" t="n"/>
      <c r="J188" s="14" t="n"/>
      <c r="K188" s="14" t="n"/>
      <c r="L188" s="14" t="n"/>
      <c r="M188" s="14" t="n"/>
      <c r="N188" s="14"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4" t="n"/>
      <c r="I189" s="14" t="n"/>
      <c r="J189" s="14" t="n"/>
      <c r="K189" s="14" t="n"/>
      <c r="L189" s="14" t="n"/>
      <c r="M189" s="14" t="n"/>
      <c r="N189" s="14"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4" t="n"/>
      <c r="I190" s="14" t="n"/>
      <c r="J190" s="14" t="n"/>
      <c r="K190" s="14" t="n"/>
      <c r="L190" s="14" t="n"/>
      <c r="M190" s="14" t="n"/>
      <c r="N190" s="14"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4" t="n"/>
      <c r="I191" s="14" t="n"/>
      <c r="J191" s="14" t="n"/>
      <c r="K191" s="14" t="n"/>
      <c r="L191" s="14" t="n"/>
      <c r="M191" s="14" t="n"/>
      <c r="N191" s="14"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4" t="n"/>
      <c r="I192" s="14" t="n"/>
      <c r="J192" s="14" t="n"/>
      <c r="K192" s="14" t="n"/>
      <c r="L192" s="14" t="n"/>
      <c r="M192" s="14" t="n"/>
      <c r="N192" s="14"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4" t="n"/>
      <c r="I193" s="14" t="n"/>
      <c r="J193" s="14" t="n"/>
      <c r="K193" s="14" t="n"/>
      <c r="L193" s="14" t="n"/>
      <c r="M193" s="14" t="n"/>
      <c r="N193" s="14" t="n"/>
    </row>
    <row r="194">
      <c r="A194" s="11" t="inlineStr">
        <is>
          <t>celebrations-25</t>
        </is>
      </c>
      <c r="B194" s="11" t="inlineStr">
        <is>
          <t>Celebrations</t>
        </is>
      </c>
      <c r="C194" s="11" t="inlineStr">
        <is>
          <t>Mew</t>
        </is>
      </c>
      <c r="D194" s="11" t="inlineStr">
        <is>
          <t>25</t>
        </is>
      </c>
      <c r="E194" s="11" t="inlineStr">
        <is>
          <t>Secret Rare</t>
        </is>
      </c>
      <c r="F194" s="19" t="n">
        <v>61.3</v>
      </c>
      <c r="G194" s="20" t="n"/>
      <c r="H194" s="14" t="n"/>
      <c r="I194" s="14" t="n"/>
      <c r="J194" s="14" t="n"/>
      <c r="K194" s="14" t="n"/>
      <c r="L194" s="14" t="n"/>
      <c r="M194" s="14" t="n"/>
      <c r="N194" s="14"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4" t="n"/>
      <c r="I195" s="14" t="n"/>
      <c r="J195" s="14" t="n"/>
      <c r="K195" s="14" t="n"/>
      <c r="L195" s="14" t="n"/>
      <c r="M195" s="14" t="n"/>
      <c r="N195" s="14"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4" t="n"/>
      <c r="I196" s="14" t="n"/>
      <c r="J196" s="14" t="n"/>
      <c r="K196" s="14" t="n"/>
      <c r="L196" s="14" t="n"/>
      <c r="M196" s="14" t="n"/>
      <c r="N196" s="14" t="n"/>
    </row>
    <row r="197">
      <c r="A197" s="11" t="inlineStr">
        <is>
          <t>celebrations-5</t>
        </is>
      </c>
      <c r="B197" s="11" t="inlineStr">
        <is>
          <t>Celebrations</t>
        </is>
      </c>
      <c r="C197" s="11" t="inlineStr">
        <is>
          <t>Pikachu</t>
        </is>
      </c>
      <c r="D197" s="11" t="inlineStr">
        <is>
          <t>5</t>
        </is>
      </c>
      <c r="E197" s="11" t="inlineStr">
        <is>
          <t>Holo Rare</t>
        </is>
      </c>
      <c r="F197" s="19" t="n">
        <v>6.5</v>
      </c>
      <c r="G197" s="20" t="n"/>
      <c r="H197" s="14" t="n"/>
      <c r="I197" s="14" t="n"/>
      <c r="J197" s="14" t="n"/>
      <c r="K197" s="14" t="n"/>
      <c r="L197" s="14" t="n"/>
      <c r="M197" s="14" t="n"/>
      <c r="N197" s="14"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4" t="n"/>
      <c r="I198" s="14" t="n"/>
      <c r="J198" s="14" t="n"/>
      <c r="K198" s="14" t="n"/>
      <c r="L198" s="14" t="n"/>
      <c r="M198" s="14" t="n"/>
      <c r="N198" s="14"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4" t="n"/>
      <c r="I199" s="14" t="n"/>
      <c r="J199" s="14" t="n"/>
      <c r="K199" s="14" t="n"/>
      <c r="L199" s="14" t="n"/>
      <c r="M199" s="14" t="n"/>
      <c r="N199" s="14" t="n"/>
    </row>
    <row r="200">
      <c r="A200" s="11" t="inlineStr">
        <is>
          <t>celebrations-11</t>
        </is>
      </c>
      <c r="B200" s="11" t="inlineStr">
        <is>
          <t>Celebrations</t>
        </is>
      </c>
      <c r="C200" s="11" t="inlineStr">
        <is>
          <t>Mew</t>
        </is>
      </c>
      <c r="D200" s="11" t="inlineStr">
        <is>
          <t>11</t>
        </is>
      </c>
      <c r="E200" s="11" t="inlineStr">
        <is>
          <t>Holo Rare</t>
        </is>
      </c>
      <c r="F200" s="19" t="n">
        <v>4</v>
      </c>
      <c r="G200" s="20" t="n"/>
      <c r="H200" s="14" t="n"/>
      <c r="I200" s="14" t="n"/>
      <c r="J200" s="14" t="n"/>
      <c r="K200" s="14" t="n"/>
      <c r="L200" s="14" t="n"/>
      <c r="M200" s="14" t="n"/>
      <c r="N200" s="14"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4" t="n"/>
      <c r="I201" s="14" t="n"/>
      <c r="J201" s="14" t="n"/>
      <c r="K201" s="14" t="n"/>
      <c r="L201" s="14" t="n"/>
      <c r="M201" s="14" t="n"/>
      <c r="N201" s="14"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4" t="n"/>
      <c r="I202" s="14" t="n"/>
      <c r="J202" s="14" t="n"/>
      <c r="K202" s="14" t="n"/>
      <c r="L202" s="14" t="n"/>
      <c r="M202" s="14" t="n"/>
      <c r="N202" s="14"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4" t="n"/>
      <c r="I203" s="14" t="n"/>
      <c r="J203" s="14" t="n"/>
      <c r="K203" s="14" t="n"/>
      <c r="L203" s="14" t="n"/>
      <c r="M203" s="14" t="n"/>
      <c r="N203" s="14"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4" t="n"/>
      <c r="I204" s="14" t="n"/>
      <c r="J204" s="14" t="n"/>
      <c r="K204" s="14" t="n"/>
      <c r="L204" s="14" t="n"/>
      <c r="M204" s="14" t="n"/>
      <c r="N204" s="14"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4" t="n"/>
      <c r="I205" s="14" t="n"/>
      <c r="J205" s="14" t="n"/>
      <c r="K205" s="14" t="n"/>
      <c r="L205" s="14" t="n"/>
      <c r="M205" s="14" t="n"/>
      <c r="N205" s="14"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4" t="n"/>
      <c r="I206" s="14" t="n"/>
      <c r="J206" s="14" t="n"/>
      <c r="K206" s="14" t="n"/>
      <c r="L206" s="14" t="n"/>
      <c r="M206" s="14" t="n"/>
      <c r="N206" s="14"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4" t="n"/>
      <c r="I207" s="14" t="n"/>
      <c r="J207" s="14" t="n"/>
      <c r="K207" s="14" t="n"/>
      <c r="L207" s="14" t="n"/>
      <c r="M207" s="14" t="n"/>
      <c r="N207" s="14"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4" t="n"/>
      <c r="I208" s="14" t="n"/>
      <c r="J208" s="14" t="n"/>
      <c r="K208" s="14" t="n"/>
      <c r="L208" s="14" t="n"/>
      <c r="M208" s="14" t="n"/>
      <c r="N208" s="14"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4" t="n"/>
      <c r="I209" s="14" t="n"/>
      <c r="J209" s="14" t="n"/>
      <c r="K209" s="14" t="n"/>
      <c r="L209" s="14" t="n"/>
      <c r="M209" s="14" t="n"/>
      <c r="N209" s="14"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4" t="n"/>
      <c r="I210" s="14" t="n"/>
      <c r="J210" s="14" t="n"/>
      <c r="K210" s="14" t="n"/>
      <c r="L210" s="14" t="n"/>
      <c r="M210" s="14" t="n"/>
      <c r="N210" s="14"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4" t="n"/>
      <c r="I211" s="14" t="n"/>
      <c r="J211" s="14" t="n"/>
      <c r="K211" s="14" t="n"/>
      <c r="L211" s="14" t="n"/>
      <c r="M211" s="14" t="n"/>
      <c r="N211" s="14"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4" t="n"/>
      <c r="I212" s="14" t="n"/>
      <c r="J212" s="14" t="n"/>
      <c r="K212" s="14" t="n"/>
      <c r="L212" s="14" t="n"/>
      <c r="M212" s="14" t="n"/>
      <c r="N212" s="14"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4" t="n"/>
      <c r="I213" s="14" t="n"/>
      <c r="J213" s="14" t="n"/>
      <c r="K213" s="14" t="n"/>
      <c r="L213" s="14" t="n"/>
      <c r="M213" s="14" t="n"/>
      <c r="N213" s="14"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4" t="n"/>
      <c r="I214" s="14" t="n"/>
      <c r="J214" s="14" t="n"/>
      <c r="K214" s="14" t="n"/>
      <c r="L214" s="14" t="n"/>
      <c r="M214" s="14" t="n"/>
      <c r="N214" s="14"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4" t="n"/>
      <c r="I215" s="14" t="n"/>
      <c r="J215" s="14" t="n"/>
      <c r="K215" s="14" t="n"/>
      <c r="L215" s="14" t="n"/>
      <c r="M215" s="14" t="n"/>
      <c r="N215" s="14"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4" t="n"/>
      <c r="I216" s="14" t="n"/>
      <c r="J216" s="14" t="n"/>
      <c r="K216" s="14" t="n"/>
      <c r="L216" s="14" t="n"/>
      <c r="M216" s="14" t="n"/>
      <c r="N216" s="14"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4" t="n"/>
      <c r="I217" s="14" t="n"/>
      <c r="J217" s="14" t="n"/>
      <c r="K217" s="14" t="n"/>
      <c r="L217" s="14" t="n"/>
      <c r="M217" s="14" t="n"/>
      <c r="N217" s="14"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4" t="n"/>
      <c r="I218" s="14" t="n"/>
      <c r="J218" s="14" t="n"/>
      <c r="K218" s="14" t="n"/>
      <c r="L218" s="14" t="n"/>
      <c r="M218" s="14" t="n"/>
      <c r="N218" s="14"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4" t="n"/>
      <c r="I219" s="14" t="n"/>
      <c r="J219" s="14" t="n"/>
      <c r="K219" s="14" t="n"/>
      <c r="L219" s="14" t="n"/>
      <c r="M219" s="14" t="n"/>
      <c r="N219" s="14"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4" t="n"/>
      <c r="I220" s="14" t="n"/>
      <c r="J220" s="14" t="n"/>
      <c r="K220" s="14" t="n"/>
      <c r="L220" s="14" t="n"/>
      <c r="M220" s="14" t="n"/>
      <c r="N220" s="14"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4" t="n"/>
      <c r="I221" s="14" t="n"/>
      <c r="J221" s="14" t="n"/>
      <c r="K221" s="14" t="n"/>
      <c r="L221" s="14" t="n"/>
      <c r="M221" s="14" t="n"/>
      <c r="N221" s="14" t="n"/>
    </row>
    <row r="222">
      <c r="A222" s="11" t="inlineStr">
        <is>
          <t>rebel-clash-192</t>
        </is>
      </c>
      <c r="B222" s="11" t="inlineStr">
        <is>
          <t>Rebel Clash</t>
        </is>
      </c>
      <c r="C222" s="11" t="inlineStr">
        <is>
          <t>Sonia</t>
        </is>
      </c>
      <c r="D222" s="11" t="inlineStr">
        <is>
          <t>192</t>
        </is>
      </c>
      <c r="E222" s="11" t="inlineStr">
        <is>
          <t>Ultra Rare</t>
        </is>
      </c>
      <c r="F222" s="19" t="n">
        <v>19.82</v>
      </c>
      <c r="G222" s="20" t="n"/>
      <c r="H222" s="14" t="n"/>
      <c r="I222" s="14" t="n"/>
      <c r="J222" s="14" t="n"/>
      <c r="K222" s="14" t="n"/>
      <c r="L222" s="14" t="n"/>
      <c r="M222" s="14" t="n"/>
      <c r="N222" s="14"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4" t="n"/>
      <c r="I223" s="14" t="n"/>
      <c r="J223" s="14" t="n"/>
      <c r="K223" s="14" t="n"/>
      <c r="L223" s="14" t="n"/>
      <c r="M223" s="14" t="n"/>
      <c r="N223" s="14"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4" t="n"/>
      <c r="I224" s="14" t="n"/>
      <c r="J224" s="14" t="n"/>
      <c r="K224" s="14" t="n"/>
      <c r="L224" s="14" t="n"/>
      <c r="M224" s="14" t="n"/>
      <c r="N224" s="14" t="n"/>
    </row>
    <row r="225">
      <c r="A225" s="11" t="inlineStr">
        <is>
          <t>rebel-clash-39</t>
        </is>
      </c>
      <c r="B225" s="11" t="inlineStr">
        <is>
          <t>Rebel Clash</t>
        </is>
      </c>
      <c r="C225" s="11" t="inlineStr">
        <is>
          <t>Magikarp</t>
        </is>
      </c>
      <c r="D225" s="11" t="inlineStr">
        <is>
          <t>39</t>
        </is>
      </c>
      <c r="E225" s="11" t="inlineStr">
        <is>
          <t>Common</t>
        </is>
      </c>
      <c r="F225" s="19" t="n">
        <v>20.08</v>
      </c>
      <c r="G225" s="20" t="n"/>
      <c r="H225" s="14" t="n"/>
      <c r="I225" s="14" t="n"/>
      <c r="J225" s="14" t="n"/>
      <c r="K225" s="14" t="n"/>
      <c r="L225" s="14" t="n"/>
      <c r="M225" s="14" t="n"/>
      <c r="N225" s="14"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4" t="inlineStr">
        <is>
          <t>kj7532tb0_I</t>
        </is>
      </c>
      <c r="B2" s="14" t="inlineStr">
        <is>
          <t>Dawn</t>
        </is>
      </c>
      <c r="C2" s="14" t="inlineStr">
        <is>
          <t>Phantasmal Flames</t>
        </is>
      </c>
      <c r="D2" s="14" t="n"/>
      <c r="E2" s="14" t="inlineStr">
        <is>
          <t>Ultra Rare</t>
        </is>
      </c>
      <c r="F2" s="21" t="n"/>
      <c r="G2" s="21" t="n"/>
      <c r="H2" s="14" t="n"/>
      <c r="I2" s="14" t="n"/>
    </row>
    <row r="3">
      <c r="A3" s="14" t="inlineStr">
        <is>
          <t>kj7532tb0_I</t>
        </is>
      </c>
      <c r="B3" s="14" t="inlineStr">
        <is>
          <t>Mega Gengar ex</t>
        </is>
      </c>
      <c r="C3" s="14" t="inlineStr">
        <is>
          <t>Phantasmal Flames</t>
        </is>
      </c>
      <c r="D3" s="14" t="n"/>
      <c r="E3" s="14" t="inlineStr">
        <is>
          <t>Double Rare</t>
        </is>
      </c>
      <c r="F3" s="21" t="n"/>
      <c r="G3" s="21" t="n"/>
      <c r="H3" s="14" t="n"/>
      <c r="I3" s="14" t="n"/>
    </row>
    <row r="4">
      <c r="A4" s="14" t="inlineStr">
        <is>
          <t>kj7532tb0_I</t>
        </is>
      </c>
      <c r="B4" s="14" t="inlineStr">
        <is>
          <t>Mega Gardevoir ex</t>
        </is>
      </c>
      <c r="C4" s="14" t="inlineStr">
        <is>
          <t>Mega Evolution</t>
        </is>
      </c>
      <c r="D4" s="14" t="n"/>
      <c r="E4" s="14" t="inlineStr">
        <is>
          <t>Ultra Rare</t>
        </is>
      </c>
      <c r="F4" s="21" t="n"/>
      <c r="G4" s="21" t="n"/>
      <c r="H4" s="14" t="n"/>
      <c r="I4" s="14" t="n"/>
    </row>
    <row r="5">
      <c r="A5" s="14" t="inlineStr">
        <is>
          <t>kj7532tb0_I</t>
        </is>
      </c>
      <c r="B5" s="14" t="inlineStr">
        <is>
          <t>Mega Venusaur ex</t>
        </is>
      </c>
      <c r="C5" s="14" t="inlineStr">
        <is>
          <t>Mega Evolution</t>
        </is>
      </c>
      <c r="D5" s="14" t="n"/>
      <c r="E5" s="14" t="inlineStr">
        <is>
          <t>Double Rare</t>
        </is>
      </c>
      <c r="F5" s="21" t="n"/>
      <c r="G5" s="21" t="n"/>
      <c r="H5" s="14" t="n"/>
      <c r="I5" s="14" t="n"/>
    </row>
    <row r="6">
      <c r="A6" s="14" t="inlineStr">
        <is>
          <t>kj7532tb0_I</t>
        </is>
      </c>
      <c r="B6" s="14" t="inlineStr">
        <is>
          <t>Marshadow</t>
        </is>
      </c>
      <c r="C6" s="14" t="inlineStr">
        <is>
          <t>Mega Evolution</t>
        </is>
      </c>
      <c r="D6" s="14" t="n"/>
      <c r="E6" s="14" t="inlineStr">
        <is>
          <t>Illustration Rare</t>
        </is>
      </c>
      <c r="F6" s="21" t="n"/>
      <c r="G6" s="21" t="n"/>
      <c r="H6" s="14" t="n"/>
      <c r="I6" s="14" t="n"/>
    </row>
    <row r="7">
      <c r="A7" s="14" t="inlineStr">
        <is>
          <t>kj7532tb0_I</t>
        </is>
      </c>
      <c r="B7" s="14" t="inlineStr">
        <is>
          <t>Cetitan ex</t>
        </is>
      </c>
      <c r="C7" s="14" t="inlineStr">
        <is>
          <t>Destined Rivals</t>
        </is>
      </c>
      <c r="D7" s="14" t="n"/>
      <c r="E7" s="14" t="n"/>
      <c r="F7" s="21" t="n"/>
      <c r="G7" s="21" t="n"/>
      <c r="H7" s="14" t="n"/>
      <c r="I7" s="14" t="n"/>
    </row>
    <row r="8">
      <c r="A8" s="14" t="inlineStr">
        <is>
          <t>kj7532tb0_I</t>
        </is>
      </c>
      <c r="B8" s="14" t="inlineStr">
        <is>
          <t>Rotom</t>
        </is>
      </c>
      <c r="C8" s="14" t="inlineStr">
        <is>
          <t>Destined Rivals</t>
        </is>
      </c>
      <c r="D8" s="14" t="n"/>
      <c r="E8" s="14" t="inlineStr">
        <is>
          <t>Illustration Rare</t>
        </is>
      </c>
      <c r="F8" s="21" t="n"/>
      <c r="G8" s="21" t="n"/>
      <c r="H8" s="14" t="n"/>
      <c r="I8" s="14" t="n"/>
    </row>
    <row r="9">
      <c r="A9" s="14" t="inlineStr">
        <is>
          <t>kj7532tb0_I</t>
        </is>
      </c>
      <c r="B9" s="14" t="inlineStr">
        <is>
          <t>Noibat</t>
        </is>
      </c>
      <c r="C9" s="14" t="inlineStr">
        <is>
          <t>Journey Together</t>
        </is>
      </c>
      <c r="D9" s="14" t="n"/>
      <c r="E9" s="14" t="inlineStr">
        <is>
          <t>Illustration Rare</t>
        </is>
      </c>
      <c r="F9" s="21" t="n"/>
      <c r="G9" s="21" t="n"/>
      <c r="H9" s="14" t="n"/>
      <c r="I9" s="14" t="n"/>
    </row>
    <row r="10">
      <c r="A10" s="14" t="inlineStr">
        <is>
          <t>kj7532tb0_I</t>
        </is>
      </c>
      <c r="B10" s="14" t="inlineStr">
        <is>
          <t>Brock's Scouting</t>
        </is>
      </c>
      <c r="C10" s="14" t="inlineStr">
        <is>
          <t>Journey Together</t>
        </is>
      </c>
      <c r="D10" s="14" t="n"/>
      <c r="E10" s="14" t="inlineStr">
        <is>
          <t>Ultra Rare</t>
        </is>
      </c>
      <c r="F10" s="21" t="n"/>
      <c r="G10" s="21" t="n"/>
      <c r="H10" s="14" t="n"/>
      <c r="I10" s="14" t="n"/>
    </row>
    <row r="11">
      <c r="A11" s="14" t="inlineStr">
        <is>
          <t>kj7532tb0_I</t>
        </is>
      </c>
      <c r="B11" s="14" t="inlineStr">
        <is>
          <t>Blaziken ex</t>
        </is>
      </c>
      <c r="C11" s="14" t="inlineStr">
        <is>
          <t>Journey Together</t>
        </is>
      </c>
      <c r="D11" s="14" t="n"/>
      <c r="E11" s="14" t="inlineStr">
        <is>
          <t>Double Rare</t>
        </is>
      </c>
      <c r="F11" s="21" t="n"/>
      <c r="G11" s="21" t="n"/>
      <c r="H11" s="14" t="n"/>
      <c r="I11" s="14" t="n"/>
    </row>
    <row r="12">
      <c r="A12" s="14" t="inlineStr">
        <is>
          <t>kj7532tb0_I</t>
        </is>
      </c>
      <c r="B12" s="14" t="inlineStr">
        <is>
          <t>Scramble Switch</t>
        </is>
      </c>
      <c r="C12" s="14" t="inlineStr">
        <is>
          <t>Surging Sparks</t>
        </is>
      </c>
      <c r="D12" s="14" t="n"/>
      <c r="E12" s="14" t="inlineStr">
        <is>
          <t>ACE SPEC Rare</t>
        </is>
      </c>
      <c r="F12" s="21" t="n"/>
      <c r="G12" s="21" t="n"/>
      <c r="H12" s="14" t="n"/>
      <c r="I12" s="14" t="n"/>
    </row>
    <row r="13">
      <c r="A13" s="14" t="inlineStr">
        <is>
          <t>kj7532tb0_I</t>
        </is>
      </c>
      <c r="B13" s="14" t="inlineStr">
        <is>
          <t>Cyrano</t>
        </is>
      </c>
      <c r="C13" s="14" t="inlineStr">
        <is>
          <t>Surging Sparks</t>
        </is>
      </c>
      <c r="D13" s="14" t="n"/>
      <c r="E13" s="14" t="inlineStr">
        <is>
          <t>Ultra Rare</t>
        </is>
      </c>
      <c r="F13" s="21" t="n"/>
      <c r="G13" s="21" t="n"/>
      <c r="H13" s="14" t="n"/>
      <c r="I13" s="14" t="n"/>
    </row>
    <row r="14">
      <c r="A14" s="14" t="inlineStr">
        <is>
          <t>kj7532tb0_I</t>
        </is>
      </c>
      <c r="B14" s="14" t="inlineStr">
        <is>
          <t>Mega Charizard X ex</t>
        </is>
      </c>
      <c r="C14" s="14" t="inlineStr">
        <is>
          <t>MEP Black Star Promos</t>
        </is>
      </c>
      <c r="D14" s="14" t="inlineStr">
        <is>
          <t>023</t>
        </is>
      </c>
      <c r="E14" s="14" t="inlineStr">
        <is>
          <t>Black Star Promo</t>
        </is>
      </c>
      <c r="F14" s="21" t="n"/>
      <c r="G14" s="21" t="n">
        <v>176.57</v>
      </c>
      <c r="H14" s="14" t="n"/>
      <c r="I14" s="14" t="n"/>
    </row>
    <row r="15">
      <c r="A15" s="14" t="inlineStr">
        <is>
          <t>kj7532tb0_I</t>
        </is>
      </c>
      <c r="B15" s="14" t="inlineStr">
        <is>
          <t>Oricorio ex</t>
        </is>
      </c>
      <c r="C15" s="14" t="inlineStr">
        <is>
          <t>MEP Black Star Promos</t>
        </is>
      </c>
      <c r="D15" s="14" t="inlineStr">
        <is>
          <t>024</t>
        </is>
      </c>
      <c r="E15" s="14" t="inlineStr">
        <is>
          <t>Black Star Promo</t>
        </is>
      </c>
      <c r="F15" s="21" t="n"/>
      <c r="G15" s="21" t="n">
        <v>99.78</v>
      </c>
      <c r="H15" s="14" t="n"/>
      <c r="I15" s="14" t="n"/>
    </row>
    <row r="16">
      <c r="A16" s="14" t="inlineStr">
        <is>
          <t>TN7_ZsuRQSI</t>
        </is>
      </c>
      <c r="B16" s="14" t="inlineStr">
        <is>
          <t>Stufful</t>
        </is>
      </c>
      <c r="C16" s="14" t="inlineStr">
        <is>
          <t>Mega Evolution</t>
        </is>
      </c>
      <c r="D16" s="14" t="n"/>
      <c r="E16" s="14" t="inlineStr">
        <is>
          <t>Illustration Rare</t>
        </is>
      </c>
      <c r="F16" s="21" t="n"/>
      <c r="G16" s="21" t="n"/>
      <c r="H16" s="14" t="n"/>
      <c r="I16" s="14" t="n"/>
    </row>
    <row r="17">
      <c r="A17" s="14" t="inlineStr">
        <is>
          <t>TN7_ZsuRQSI</t>
        </is>
      </c>
      <c r="B17" s="14" t="inlineStr">
        <is>
          <t>Marnie's Grimmsnarl ex</t>
        </is>
      </c>
      <c r="C17" s="14" t="inlineStr">
        <is>
          <t>Destined Rivals</t>
        </is>
      </c>
      <c r="D17" s="14" t="n"/>
      <c r="E17" s="14" t="inlineStr">
        <is>
          <t>Double Rare</t>
        </is>
      </c>
      <c r="F17" s="21" t="n"/>
      <c r="G17" s="21" t="n"/>
      <c r="H17" s="14" t="n"/>
      <c r="I17" s="14" t="n"/>
    </row>
    <row r="18">
      <c r="A18" s="14" t="inlineStr">
        <is>
          <t>TN7_ZsuRQSI</t>
        </is>
      </c>
      <c r="B18" s="14" t="inlineStr">
        <is>
          <t>Wailord</t>
        </is>
      </c>
      <c r="C18" s="14" t="inlineStr">
        <is>
          <t>Journey Together</t>
        </is>
      </c>
      <c r="D18" s="14" t="n"/>
      <c r="E18" s="14" t="inlineStr">
        <is>
          <t>Illustration Rare</t>
        </is>
      </c>
      <c r="F18" s="21" t="n"/>
      <c r="G18" s="21" t="n"/>
      <c r="H18" s="14" t="n"/>
      <c r="I18" s="14" t="n"/>
    </row>
    <row r="19">
      <c r="A19" s="14" t="inlineStr">
        <is>
          <t>iIgTusrqVtg</t>
        </is>
      </c>
      <c r="B19" s="14" t="inlineStr">
        <is>
          <t>Mega Greninja ex</t>
        </is>
      </c>
      <c r="C19" s="14" t="inlineStr">
        <is>
          <t>Chaos Rising</t>
        </is>
      </c>
      <c r="D19" s="14" t="n"/>
      <c r="E19" s="14" t="inlineStr">
        <is>
          <t>Mega Hyper Rare</t>
        </is>
      </c>
      <c r="F19" s="21" t="n"/>
      <c r="G19" s="21" t="n"/>
      <c r="H19" s="14" t="n"/>
      <c r="I19" s="14" t="n"/>
    </row>
    <row r="20">
      <c r="A20" s="14" t="n"/>
      <c r="B20" s="14" t="n"/>
      <c r="C20" s="14" t="n"/>
      <c r="D20" s="14" t="n"/>
      <c r="E20" s="14" t="n"/>
      <c r="F20" s="21" t="n"/>
      <c r="G20" s="21" t="n"/>
      <c r="H20" s="14" t="n"/>
      <c r="I20" s="14" t="n"/>
    </row>
    <row r="21">
      <c r="A21" s="14" t="n"/>
      <c r="B21" s="14" t="n"/>
      <c r="C21" s="14" t="n"/>
      <c r="D21" s="14" t="n"/>
      <c r="E21" s="14" t="n"/>
      <c r="F21" s="21" t="n"/>
      <c r="G21" s="21" t="n"/>
      <c r="H21" s="14" t="n"/>
      <c r="I21" s="14" t="n"/>
    </row>
    <row r="22">
      <c r="A22" s="14" t="n"/>
      <c r="B22" s="14" t="n"/>
      <c r="C22" s="14" t="n"/>
      <c r="D22" s="14" t="n"/>
      <c r="E22" s="14" t="n"/>
      <c r="F22" s="21" t="n"/>
      <c r="G22" s="21" t="n"/>
      <c r="H22" s="14" t="n"/>
      <c r="I22" s="14" t="n"/>
    </row>
    <row r="23">
      <c r="A23" s="14" t="n"/>
      <c r="B23" s="14" t="n"/>
      <c r="C23" s="14" t="n"/>
      <c r="D23" s="14" t="n"/>
      <c r="E23" s="14" t="n"/>
      <c r="F23" s="21" t="n"/>
      <c r="G23" s="21" t="n"/>
      <c r="H23" s="14" t="n"/>
      <c r="I23" s="14" t="n"/>
    </row>
    <row r="24">
      <c r="A24" s="14" t="n"/>
      <c r="B24" s="14" t="n"/>
      <c r="C24" s="14" t="n"/>
      <c r="D24" s="14" t="n"/>
      <c r="E24" s="14" t="n"/>
      <c r="F24" s="21" t="n"/>
      <c r="G24" s="21" t="n"/>
      <c r="H24" s="14" t="n"/>
      <c r="I24" s="14" t="n"/>
    </row>
    <row r="25">
      <c r="A25" s="14" t="n"/>
      <c r="B25" s="14" t="n"/>
      <c r="C25" s="14" t="n"/>
      <c r="D25" s="14" t="n"/>
      <c r="E25" s="14" t="n"/>
      <c r="F25" s="21" t="n"/>
      <c r="G25" s="21" t="n"/>
      <c r="H25" s="14" t="n"/>
      <c r="I25" s="14" t="n"/>
    </row>
    <row r="26">
      <c r="A26" s="14" t="n"/>
      <c r="B26" s="14" t="n"/>
      <c r="C26" s="14" t="n"/>
      <c r="D26" s="14" t="n"/>
      <c r="E26" s="14" t="n"/>
      <c r="F26" s="21" t="n"/>
      <c r="G26" s="21" t="n"/>
      <c r="H26" s="14" t="n"/>
      <c r="I26" s="14" t="n"/>
    </row>
    <row r="27">
      <c r="A27" s="14" t="n"/>
      <c r="B27" s="14" t="n"/>
      <c r="C27" s="14" t="n"/>
      <c r="D27" s="14" t="n"/>
      <c r="E27" s="14" t="n"/>
      <c r="F27" s="21" t="n"/>
      <c r="G27" s="21" t="n"/>
      <c r="H27" s="14" t="n"/>
      <c r="I27" s="14" t="n"/>
    </row>
    <row r="28">
      <c r="A28" s="14" t="n"/>
      <c r="B28" s="14" t="n"/>
      <c r="C28" s="14" t="n"/>
      <c r="D28" s="14" t="n"/>
      <c r="E28" s="14" t="n"/>
      <c r="F28" s="21" t="n"/>
      <c r="G28" s="21" t="n"/>
      <c r="H28" s="14" t="n"/>
      <c r="I28" s="14" t="n"/>
    </row>
    <row r="29">
      <c r="A29" s="14" t="n"/>
      <c r="B29" s="14" t="n"/>
      <c r="C29" s="14" t="n"/>
      <c r="D29" s="14" t="n"/>
      <c r="E29" s="14" t="n"/>
      <c r="F29" s="21" t="n"/>
      <c r="G29" s="21" t="n"/>
      <c r="H29" s="14" t="n"/>
      <c r="I29" s="14" t="n"/>
    </row>
    <row r="30">
      <c r="A30" s="14" t="n"/>
      <c r="B30" s="14" t="n"/>
      <c r="C30" s="14" t="n"/>
      <c r="D30" s="14" t="n"/>
      <c r="E30" s="14" t="n"/>
      <c r="F30" s="21" t="n"/>
      <c r="G30" s="21" t="n"/>
      <c r="H30" s="14" t="n"/>
      <c r="I30" s="14" t="n"/>
    </row>
    <row r="31">
      <c r="A31" s="14" t="n"/>
      <c r="B31" s="14" t="n"/>
      <c r="C31" s="14" t="n"/>
      <c r="D31" s="14" t="n"/>
      <c r="E31" s="14" t="n"/>
      <c r="F31" s="21" t="n"/>
      <c r="G31" s="21" t="n"/>
      <c r="H31" s="14" t="n"/>
      <c r="I31" s="14" t="n"/>
    </row>
    <row r="32">
      <c r="A32" s="14" t="n"/>
      <c r="B32" s="14" t="n"/>
      <c r="C32" s="14" t="n"/>
      <c r="D32" s="14" t="n"/>
      <c r="E32" s="14" t="n"/>
      <c r="F32" s="21" t="n"/>
      <c r="G32" s="21" t="n"/>
      <c r="H32" s="14" t="n"/>
      <c r="I32" s="14" t="n"/>
    </row>
    <row r="33">
      <c r="A33" s="14" t="n"/>
      <c r="B33" s="14" t="n"/>
      <c r="C33" s="14" t="n"/>
      <c r="D33" s="14" t="n"/>
      <c r="E33" s="14" t="n"/>
      <c r="F33" s="21" t="n"/>
      <c r="G33" s="21" t="n"/>
      <c r="H33" s="14" t="n"/>
      <c r="I33" s="14" t="n"/>
    </row>
    <row r="34">
      <c r="A34" s="14" t="n"/>
      <c r="B34" s="14" t="n"/>
      <c r="C34" s="14" t="n"/>
      <c r="D34" s="14" t="n"/>
      <c r="E34" s="14" t="n"/>
      <c r="F34" s="21" t="n"/>
      <c r="G34" s="21" t="n"/>
      <c r="H34" s="14" t="n"/>
      <c r="I34" s="14" t="n"/>
    </row>
    <row r="35">
      <c r="A35" s="14" t="n"/>
      <c r="B35" s="14" t="n"/>
      <c r="C35" s="14" t="n"/>
      <c r="D35" s="14" t="n"/>
      <c r="E35" s="14" t="n"/>
      <c r="F35" s="21" t="n"/>
      <c r="G35" s="21" t="n"/>
      <c r="H35" s="14" t="n"/>
      <c r="I35" s="14" t="n"/>
    </row>
    <row r="36">
      <c r="A36" s="14" t="n"/>
      <c r="B36" s="14" t="n"/>
      <c r="C36" s="14" t="n"/>
      <c r="D36" s="14" t="n"/>
      <c r="E36" s="14" t="n"/>
      <c r="F36" s="21" t="n"/>
      <c r="G36" s="21" t="n"/>
      <c r="H36" s="14" t="n"/>
      <c r="I36" s="14" t="n"/>
    </row>
    <row r="37">
      <c r="A37" s="14" t="n"/>
      <c r="B37" s="14" t="n"/>
      <c r="C37" s="14" t="n"/>
      <c r="D37" s="14" t="n"/>
      <c r="E37" s="14" t="n"/>
      <c r="F37" s="21" t="n"/>
      <c r="G37" s="21" t="n"/>
      <c r="H37" s="14" t="n"/>
      <c r="I37" s="14" t="n"/>
    </row>
    <row r="38">
      <c r="A38" s="14" t="n"/>
      <c r="B38" s="14" t="n"/>
      <c r="C38" s="14" t="n"/>
      <c r="D38" s="14" t="n"/>
      <c r="E38" s="14" t="n"/>
      <c r="F38" s="21" t="n"/>
      <c r="G38" s="21" t="n"/>
      <c r="H38" s="14" t="n"/>
      <c r="I38" s="14" t="n"/>
    </row>
    <row r="39">
      <c r="A39" s="14" t="n"/>
      <c r="B39" s="14" t="n"/>
      <c r="C39" s="14" t="n"/>
      <c r="D39" s="14" t="n"/>
      <c r="E39" s="14" t="n"/>
      <c r="F39" s="21" t="n"/>
      <c r="G39" s="21" t="n"/>
      <c r="H39" s="14" t="n"/>
      <c r="I39" s="14" t="n"/>
    </row>
    <row r="40">
      <c r="A40" s="14" t="n"/>
      <c r="B40" s="14" t="n"/>
      <c r="C40" s="14" t="n"/>
      <c r="D40" s="14" t="n"/>
      <c r="E40" s="14" t="n"/>
      <c r="F40" s="21" t="n"/>
      <c r="G40" s="21" t="n"/>
      <c r="H40" s="14" t="n"/>
      <c r="I40" s="14" t="n"/>
    </row>
    <row r="41">
      <c r="A41" s="14" t="n"/>
      <c r="B41" s="14" t="n"/>
      <c r="C41" s="14" t="n"/>
      <c r="D41" s="14" t="n"/>
      <c r="E41" s="14" t="n"/>
      <c r="F41" s="21" t="n"/>
      <c r="G41" s="21" t="n"/>
      <c r="H41" s="14" t="n"/>
      <c r="I41" s="14" t="n"/>
    </row>
    <row r="42">
      <c r="A42" s="14" t="n"/>
      <c r="B42" s="14" t="n"/>
      <c r="C42" s="14" t="n"/>
      <c r="D42" s="14" t="n"/>
      <c r="E42" s="14" t="n"/>
      <c r="F42" s="21" t="n"/>
      <c r="G42" s="21" t="n"/>
      <c r="H42" s="14" t="n"/>
      <c r="I42" s="14" t="n"/>
    </row>
    <row r="43">
      <c r="A43" s="14" t="n"/>
      <c r="B43" s="14" t="n"/>
      <c r="C43" s="14" t="n"/>
      <c r="D43" s="14" t="n"/>
      <c r="E43" s="14" t="n"/>
      <c r="F43" s="21" t="n"/>
      <c r="G43" s="21" t="n"/>
      <c r="H43" s="14" t="n"/>
      <c r="I43" s="14" t="n"/>
    </row>
    <row r="44">
      <c r="A44" s="14" t="n"/>
      <c r="B44" s="14" t="n"/>
      <c r="C44" s="14" t="n"/>
      <c r="D44" s="14" t="n"/>
      <c r="E44" s="14" t="n"/>
      <c r="F44" s="21" t="n"/>
      <c r="G44" s="21" t="n"/>
      <c r="H44" s="14" t="n"/>
      <c r="I44" s="14" t="n"/>
    </row>
    <row r="45">
      <c r="A45" s="14" t="n"/>
      <c r="B45" s="14" t="n"/>
      <c r="C45" s="14" t="n"/>
      <c r="D45" s="14" t="n"/>
      <c r="E45" s="14" t="n"/>
      <c r="F45" s="21" t="n"/>
      <c r="G45" s="21" t="n"/>
      <c r="H45" s="14" t="n"/>
      <c r="I45" s="14" t="n"/>
    </row>
    <row r="46">
      <c r="A46" s="14" t="n"/>
      <c r="B46" s="14" t="n"/>
      <c r="C46" s="14" t="n"/>
      <c r="D46" s="14" t="n"/>
      <c r="E46" s="14" t="n"/>
      <c r="F46" s="21" t="n"/>
      <c r="G46" s="21" t="n"/>
      <c r="H46" s="14" t="n"/>
      <c r="I46" s="14" t="n"/>
    </row>
    <row r="47">
      <c r="A47" s="14" t="n"/>
      <c r="B47" s="14" t="n"/>
      <c r="C47" s="14" t="n"/>
      <c r="D47" s="14" t="n"/>
      <c r="E47" s="14" t="n"/>
      <c r="F47" s="21" t="n"/>
      <c r="G47" s="21" t="n"/>
      <c r="H47" s="14" t="n"/>
      <c r="I47" s="14" t="n"/>
    </row>
    <row r="48">
      <c r="A48" s="14" t="n"/>
      <c r="B48" s="14" t="n"/>
      <c r="C48" s="14" t="n"/>
      <c r="D48" s="14" t="n"/>
      <c r="E48" s="14" t="n"/>
      <c r="F48" s="21" t="n"/>
      <c r="G48" s="21" t="n"/>
      <c r="H48" s="14" t="n"/>
      <c r="I48" s="14" t="n"/>
    </row>
    <row r="49">
      <c r="A49" s="14" t="n"/>
      <c r="B49" s="14" t="n"/>
      <c r="C49" s="14" t="n"/>
      <c r="D49" s="14" t="n"/>
      <c r="E49" s="14" t="n"/>
      <c r="F49" s="21" t="n"/>
      <c r="G49" s="21" t="n"/>
      <c r="H49" s="14" t="n"/>
      <c r="I49" s="14" t="n"/>
    </row>
    <row r="50">
      <c r="A50" s="14" t="n"/>
      <c r="B50" s="14" t="n"/>
      <c r="C50" s="14" t="n"/>
      <c r="D50" s="14" t="n"/>
      <c r="E50" s="14" t="n"/>
      <c r="F50" s="21" t="n"/>
      <c r="G50" s="21" t="n"/>
      <c r="H50" s="14" t="n"/>
      <c r="I50" s="14" t="n"/>
    </row>
    <row r="51">
      <c r="A51" s="14" t="n"/>
      <c r="B51" s="14" t="n"/>
      <c r="C51" s="14" t="n"/>
      <c r="D51" s="14" t="n"/>
      <c r="E51" s="14" t="n"/>
      <c r="F51" s="21" t="n"/>
      <c r="G51" s="21" t="n"/>
      <c r="H51" s="14" t="n"/>
      <c r="I51" s="14" t="n"/>
    </row>
    <row r="52">
      <c r="A52" s="14" t="n"/>
      <c r="B52" s="14" t="n"/>
      <c r="C52" s="14" t="n"/>
      <c r="D52" s="14" t="n"/>
      <c r="E52" s="14" t="n"/>
      <c r="F52" s="21" t="n"/>
      <c r="G52" s="21" t="n"/>
      <c r="H52" s="14" t="n"/>
      <c r="I52" s="14" t="n"/>
    </row>
    <row r="53">
      <c r="A53" s="14" t="n"/>
      <c r="B53" s="14" t="n"/>
      <c r="C53" s="14" t="n"/>
      <c r="D53" s="14" t="n"/>
      <c r="E53" s="14" t="n"/>
      <c r="F53" s="21" t="n"/>
      <c r="G53" s="21" t="n"/>
      <c r="H53" s="14" t="n"/>
      <c r="I53" s="14" t="n"/>
    </row>
    <row r="54">
      <c r="A54" s="14" t="n"/>
      <c r="B54" s="14" t="n"/>
      <c r="C54" s="14" t="n"/>
      <c r="D54" s="14" t="n"/>
      <c r="E54" s="14" t="n"/>
      <c r="F54" s="21" t="n"/>
      <c r="G54" s="21" t="n"/>
      <c r="H54" s="14" t="n"/>
      <c r="I54" s="14" t="n"/>
    </row>
    <row r="55">
      <c r="A55" s="14" t="n"/>
      <c r="B55" s="14" t="n"/>
      <c r="C55" s="14" t="n"/>
      <c r="D55" s="14" t="n"/>
      <c r="E55" s="14" t="n"/>
      <c r="F55" s="21" t="n"/>
      <c r="G55" s="21" t="n"/>
      <c r="H55" s="14" t="n"/>
      <c r="I55" s="14" t="n"/>
    </row>
    <row r="56">
      <c r="A56" s="14" t="n"/>
      <c r="B56" s="14" t="n"/>
      <c r="C56" s="14" t="n"/>
      <c r="D56" s="14" t="n"/>
      <c r="E56" s="14" t="n"/>
      <c r="F56" s="21" t="n"/>
      <c r="G56" s="21" t="n"/>
      <c r="H56" s="14" t="n"/>
      <c r="I56" s="14" t="n"/>
    </row>
    <row r="57">
      <c r="A57" s="14" t="n"/>
      <c r="B57" s="14" t="n"/>
      <c r="C57" s="14" t="n"/>
      <c r="D57" s="14" t="n"/>
      <c r="E57" s="14" t="n"/>
      <c r="F57" s="21" t="n"/>
      <c r="G57" s="21" t="n"/>
      <c r="H57" s="14" t="n"/>
      <c r="I57" s="14" t="n"/>
    </row>
    <row r="58">
      <c r="A58" s="14" t="n"/>
      <c r="B58" s="14" t="n"/>
      <c r="C58" s="14" t="n"/>
      <c r="D58" s="14" t="n"/>
      <c r="E58" s="14" t="n"/>
      <c r="F58" s="21" t="n"/>
      <c r="G58" s="21" t="n"/>
      <c r="H58" s="14" t="n"/>
      <c r="I58" s="14" t="n"/>
    </row>
    <row r="59">
      <c r="A59" s="14" t="n"/>
      <c r="B59" s="14" t="n"/>
      <c r="C59" s="14" t="n"/>
      <c r="D59" s="14" t="n"/>
      <c r="E59" s="14" t="n"/>
      <c r="F59" s="21" t="n"/>
      <c r="G59" s="21" t="n"/>
      <c r="H59" s="14" t="n"/>
      <c r="I59" s="14" t="n"/>
    </row>
    <row r="60">
      <c r="A60" s="14" t="n"/>
      <c r="B60" s="14" t="n"/>
      <c r="C60" s="14" t="n"/>
      <c r="D60" s="14" t="n"/>
      <c r="E60" s="14" t="n"/>
      <c r="F60" s="21" t="n"/>
      <c r="G60" s="21" t="n"/>
      <c r="H60" s="14" t="n"/>
      <c r="I60" s="14" t="n"/>
    </row>
    <row r="61">
      <c r="A61" s="14" t="n"/>
      <c r="B61" s="14" t="n"/>
      <c r="C61" s="14" t="n"/>
      <c r="D61" s="14" t="n"/>
      <c r="E61" s="14" t="n"/>
      <c r="F61" s="21" t="n"/>
      <c r="G61" s="21" t="n"/>
      <c r="H61" s="14" t="n"/>
      <c r="I61" s="14" t="n"/>
    </row>
    <row r="62">
      <c r="A62" s="14" t="n"/>
      <c r="B62" s="14" t="n"/>
      <c r="C62" s="14" t="n"/>
      <c r="D62" s="14" t="n"/>
      <c r="E62" s="14" t="n"/>
      <c r="F62" s="21" t="n"/>
      <c r="G62" s="21" t="n"/>
      <c r="H62" s="14" t="n"/>
      <c r="I62" s="14" t="n"/>
    </row>
    <row r="63">
      <c r="A63" s="14" t="n"/>
      <c r="B63" s="14" t="n"/>
      <c r="C63" s="14" t="n"/>
      <c r="D63" s="14" t="n"/>
      <c r="E63" s="14" t="n"/>
      <c r="F63" s="21" t="n"/>
      <c r="G63" s="21" t="n"/>
      <c r="H63" s="14" t="n"/>
      <c r="I63" s="14" t="n"/>
    </row>
    <row r="64">
      <c r="A64" s="14" t="n"/>
      <c r="B64" s="14" t="n"/>
      <c r="C64" s="14" t="n"/>
      <c r="D64" s="14" t="n"/>
      <c r="E64" s="14" t="n"/>
      <c r="F64" s="21" t="n"/>
      <c r="G64" s="21" t="n"/>
      <c r="H64" s="14" t="n"/>
      <c r="I64" s="14" t="n"/>
    </row>
    <row r="65">
      <c r="A65" s="14" t="n"/>
      <c r="B65" s="14" t="n"/>
      <c r="C65" s="14" t="n"/>
      <c r="D65" s="14" t="n"/>
      <c r="E65" s="14" t="n"/>
      <c r="F65" s="21" t="n"/>
      <c r="G65" s="21" t="n"/>
      <c r="H65" s="14" t="n"/>
      <c r="I65" s="14" t="n"/>
    </row>
    <row r="66">
      <c r="A66" s="14" t="n"/>
      <c r="B66" s="14" t="n"/>
      <c r="C66" s="14" t="n"/>
      <c r="D66" s="14" t="n"/>
      <c r="E66" s="14" t="n"/>
      <c r="F66" s="21" t="n"/>
      <c r="G66" s="21" t="n"/>
      <c r="H66" s="14" t="n"/>
      <c r="I66" s="14" t="n"/>
    </row>
    <row r="67">
      <c r="A67" s="14" t="n"/>
      <c r="B67" s="14" t="n"/>
      <c r="C67" s="14" t="n"/>
      <c r="D67" s="14" t="n"/>
      <c r="E67" s="14" t="n"/>
      <c r="F67" s="21" t="n"/>
      <c r="G67" s="21" t="n"/>
      <c r="H67" s="14" t="n"/>
      <c r="I67" s="14" t="n"/>
    </row>
    <row r="68">
      <c r="A68" s="14" t="n"/>
      <c r="B68" s="14" t="n"/>
      <c r="C68" s="14" t="n"/>
      <c r="D68" s="14" t="n"/>
      <c r="E68" s="14" t="n"/>
      <c r="F68" s="21" t="n"/>
      <c r="G68" s="21" t="n"/>
      <c r="H68" s="14" t="n"/>
      <c r="I68" s="14" t="n"/>
    </row>
    <row r="69">
      <c r="A69" s="14" t="n"/>
      <c r="B69" s="14" t="n"/>
      <c r="C69" s="14" t="n"/>
      <c r="D69" s="14" t="n"/>
      <c r="E69" s="14" t="n"/>
      <c r="F69" s="21" t="n"/>
      <c r="G69" s="21" t="n"/>
      <c r="H69" s="14" t="n"/>
      <c r="I69" s="14" t="n"/>
    </row>
    <row r="70">
      <c r="A70" s="14" t="n"/>
      <c r="B70" s="14" t="n"/>
      <c r="C70" s="14" t="n"/>
      <c r="D70" s="14" t="n"/>
      <c r="E70" s="14" t="n"/>
      <c r="F70" s="21" t="n"/>
      <c r="G70" s="21" t="n"/>
      <c r="H70" s="14" t="n"/>
      <c r="I70" s="14" t="n"/>
    </row>
    <row r="71">
      <c r="A71" s="14" t="n"/>
      <c r="B71" s="14" t="n"/>
      <c r="C71" s="14" t="n"/>
      <c r="D71" s="14" t="n"/>
      <c r="E71" s="14" t="n"/>
      <c r="F71" s="21" t="n"/>
      <c r="G71" s="21" t="n"/>
      <c r="H71" s="14" t="n"/>
      <c r="I71" s="14" t="n"/>
    </row>
    <row r="72">
      <c r="A72" s="14" t="n"/>
      <c r="B72" s="14" t="n"/>
      <c r="C72" s="14" t="n"/>
      <c r="D72" s="14" t="n"/>
      <c r="E72" s="14" t="n"/>
      <c r="F72" s="21" t="n"/>
      <c r="G72" s="21" t="n"/>
      <c r="H72" s="14" t="n"/>
      <c r="I72" s="14" t="n"/>
    </row>
    <row r="73">
      <c r="A73" s="14" t="n"/>
      <c r="B73" s="14" t="n"/>
      <c r="C73" s="14" t="n"/>
      <c r="D73" s="14" t="n"/>
      <c r="E73" s="14" t="n"/>
      <c r="F73" s="21" t="n"/>
      <c r="G73" s="21" t="n"/>
      <c r="H73" s="14" t="n"/>
      <c r="I73" s="14" t="n"/>
    </row>
    <row r="74">
      <c r="A74" s="14" t="n"/>
      <c r="B74" s="14" t="n"/>
      <c r="C74" s="14" t="n"/>
      <c r="D74" s="14" t="n"/>
      <c r="E74" s="14" t="n"/>
      <c r="F74" s="21" t="n"/>
      <c r="G74" s="21" t="n"/>
      <c r="H74" s="14" t="n"/>
      <c r="I74" s="14" t="n"/>
    </row>
    <row r="75">
      <c r="A75" s="14" t="n"/>
      <c r="B75" s="14" t="n"/>
      <c r="C75" s="14" t="n"/>
      <c r="D75" s="14" t="n"/>
      <c r="E75" s="14" t="n"/>
      <c r="F75" s="21" t="n"/>
      <c r="G75" s="21" t="n"/>
      <c r="H75" s="14" t="n"/>
      <c r="I75" s="14" t="n"/>
    </row>
    <row r="76">
      <c r="A76" s="14" t="n"/>
      <c r="B76" s="14" t="n"/>
      <c r="C76" s="14" t="n"/>
      <c r="D76" s="14" t="n"/>
      <c r="E76" s="14" t="n"/>
      <c r="F76" s="21" t="n"/>
      <c r="G76" s="21" t="n"/>
      <c r="H76" s="14" t="n"/>
      <c r="I76" s="14" t="n"/>
    </row>
    <row r="77">
      <c r="A77" s="14" t="n"/>
      <c r="B77" s="14" t="n"/>
      <c r="C77" s="14" t="n"/>
      <c r="D77" s="14" t="n"/>
      <c r="E77" s="14" t="n"/>
      <c r="F77" s="21" t="n"/>
      <c r="G77" s="21" t="n"/>
      <c r="H77" s="14" t="n"/>
      <c r="I77" s="14" t="n"/>
    </row>
    <row r="78">
      <c r="A78" s="14" t="n"/>
      <c r="B78" s="14" t="n"/>
      <c r="C78" s="14" t="n"/>
      <c r="D78" s="14" t="n"/>
      <c r="E78" s="14" t="n"/>
      <c r="F78" s="21" t="n"/>
      <c r="G78" s="21" t="n"/>
      <c r="H78" s="14" t="n"/>
      <c r="I78" s="14" t="n"/>
    </row>
    <row r="79">
      <c r="A79" s="14" t="n"/>
      <c r="B79" s="14" t="n"/>
      <c r="C79" s="14" t="n"/>
      <c r="D79" s="14" t="n"/>
      <c r="E79" s="14" t="n"/>
      <c r="F79" s="21" t="n"/>
      <c r="G79" s="21" t="n"/>
      <c r="H79" s="14" t="n"/>
      <c r="I79" s="14" t="n"/>
    </row>
    <row r="80">
      <c r="A80" s="14" t="n"/>
      <c r="B80" s="14" t="n"/>
      <c r="C80" s="14" t="n"/>
      <c r="D80" s="14" t="n"/>
      <c r="E80" s="14" t="n"/>
      <c r="F80" s="21" t="n"/>
      <c r="G80" s="21" t="n"/>
      <c r="H80" s="14" t="n"/>
      <c r="I80" s="14" t="n"/>
    </row>
    <row r="81">
      <c r="A81" s="14" t="n"/>
      <c r="B81" s="14" t="n"/>
      <c r="C81" s="14" t="n"/>
      <c r="D81" s="14" t="n"/>
      <c r="E81" s="14" t="n"/>
      <c r="F81" s="21" t="n"/>
      <c r="G81" s="21" t="n"/>
      <c r="H81" s="14" t="n"/>
      <c r="I81" s="14" t="n"/>
    </row>
    <row r="82">
      <c r="A82" s="14" t="n"/>
      <c r="B82" s="14" t="n"/>
      <c r="C82" s="14" t="n"/>
      <c r="D82" s="14" t="n"/>
      <c r="E82" s="14" t="n"/>
      <c r="F82" s="21" t="n"/>
      <c r="G82" s="21" t="n"/>
      <c r="H82" s="14" t="n"/>
      <c r="I82" s="14" t="n"/>
    </row>
    <row r="83">
      <c r="A83" s="14" t="n"/>
      <c r="B83" s="14" t="n"/>
      <c r="C83" s="14" t="n"/>
      <c r="D83" s="14" t="n"/>
      <c r="E83" s="14" t="n"/>
      <c r="F83" s="21" t="n"/>
      <c r="G83" s="21" t="n"/>
      <c r="H83" s="14" t="n"/>
      <c r="I83" s="14" t="n"/>
    </row>
    <row r="84">
      <c r="A84" s="14" t="n"/>
      <c r="B84" s="14" t="n"/>
      <c r="C84" s="14" t="n"/>
      <c r="D84" s="14" t="n"/>
      <c r="E84" s="14" t="n"/>
      <c r="F84" s="21" t="n"/>
      <c r="G84" s="21" t="n"/>
      <c r="H84" s="14" t="n"/>
      <c r="I84" s="14" t="n"/>
    </row>
    <row r="85">
      <c r="A85" s="14" t="n"/>
      <c r="B85" s="14" t="n"/>
      <c r="C85" s="14" t="n"/>
      <c r="D85" s="14" t="n"/>
      <c r="E85" s="14" t="n"/>
      <c r="F85" s="21" t="n"/>
      <c r="G85" s="21" t="n"/>
      <c r="H85" s="14" t="n"/>
      <c r="I85" s="14" t="n"/>
    </row>
    <row r="86">
      <c r="A86" s="14" t="n"/>
      <c r="B86" s="14" t="n"/>
      <c r="C86" s="14" t="n"/>
      <c r="D86" s="14" t="n"/>
      <c r="E86" s="14" t="n"/>
      <c r="F86" s="21" t="n"/>
      <c r="G86" s="21" t="n"/>
      <c r="H86" s="14" t="n"/>
      <c r="I86" s="14" t="n"/>
    </row>
    <row r="87">
      <c r="A87" s="14" t="n"/>
      <c r="B87" s="14" t="n"/>
      <c r="C87" s="14" t="n"/>
      <c r="D87" s="14" t="n"/>
      <c r="E87" s="14" t="n"/>
      <c r="F87" s="21" t="n"/>
      <c r="G87" s="21" t="n"/>
      <c r="H87" s="14" t="n"/>
      <c r="I87" s="14" t="n"/>
    </row>
    <row r="88">
      <c r="A88" s="14" t="n"/>
      <c r="B88" s="14" t="n"/>
      <c r="C88" s="14" t="n"/>
      <c r="D88" s="14" t="n"/>
      <c r="E88" s="14" t="n"/>
      <c r="F88" s="21" t="n"/>
      <c r="G88" s="21" t="n"/>
      <c r="H88" s="14" t="n"/>
      <c r="I88" s="14" t="n"/>
    </row>
    <row r="89">
      <c r="A89" s="14" t="n"/>
      <c r="B89" s="14" t="n"/>
      <c r="C89" s="14" t="n"/>
      <c r="D89" s="14" t="n"/>
      <c r="E89" s="14" t="n"/>
      <c r="F89" s="21" t="n"/>
      <c r="G89" s="21" t="n"/>
      <c r="H89" s="14" t="n"/>
      <c r="I89" s="14" t="n"/>
    </row>
    <row r="90">
      <c r="A90" s="14" t="n"/>
      <c r="B90" s="14" t="n"/>
      <c r="C90" s="14" t="n"/>
      <c r="D90" s="14" t="n"/>
      <c r="E90" s="14" t="n"/>
      <c r="F90" s="21" t="n"/>
      <c r="G90" s="21" t="n"/>
      <c r="H90" s="14" t="n"/>
      <c r="I90" s="14" t="n"/>
    </row>
    <row r="91">
      <c r="A91" s="14" t="n"/>
      <c r="B91" s="14" t="n"/>
      <c r="C91" s="14" t="n"/>
      <c r="D91" s="14" t="n"/>
      <c r="E91" s="14" t="n"/>
      <c r="F91" s="21" t="n"/>
      <c r="G91" s="21" t="n"/>
      <c r="H91" s="14" t="n"/>
      <c r="I91" s="14" t="n"/>
    </row>
    <row r="92">
      <c r="A92" s="14" t="n"/>
      <c r="B92" s="14" t="n"/>
      <c r="C92" s="14" t="n"/>
      <c r="D92" s="14" t="n"/>
      <c r="E92" s="14" t="n"/>
      <c r="F92" s="21" t="n"/>
      <c r="G92" s="21" t="n"/>
      <c r="H92" s="14" t="n"/>
      <c r="I92" s="14" t="n"/>
    </row>
    <row r="93">
      <c r="A93" s="14" t="n"/>
      <c r="B93" s="14" t="n"/>
      <c r="C93" s="14" t="n"/>
      <c r="D93" s="14" t="n"/>
      <c r="E93" s="14" t="n"/>
      <c r="F93" s="21" t="n"/>
      <c r="G93" s="21" t="n"/>
      <c r="H93" s="14" t="n"/>
      <c r="I93" s="14" t="n"/>
    </row>
    <row r="94">
      <c r="A94" s="14" t="n"/>
      <c r="B94" s="14" t="n"/>
      <c r="C94" s="14" t="n"/>
      <c r="D94" s="14" t="n"/>
      <c r="E94" s="14" t="n"/>
      <c r="F94" s="21" t="n"/>
      <c r="G94" s="21" t="n"/>
      <c r="H94" s="14" t="n"/>
      <c r="I94" s="14" t="n"/>
    </row>
    <row r="95">
      <c r="A95" s="14" t="n"/>
      <c r="B95" s="14" t="n"/>
      <c r="C95" s="14" t="n"/>
      <c r="D95" s="14" t="n"/>
      <c r="E95" s="14" t="n"/>
      <c r="F95" s="21" t="n"/>
      <c r="G95" s="21" t="n"/>
      <c r="H95" s="14" t="n"/>
      <c r="I95" s="14" t="n"/>
    </row>
    <row r="96">
      <c r="A96" s="14" t="n"/>
      <c r="B96" s="14" t="n"/>
      <c r="C96" s="14" t="n"/>
      <c r="D96" s="14" t="n"/>
      <c r="E96" s="14" t="n"/>
      <c r="F96" s="21" t="n"/>
      <c r="G96" s="21" t="n"/>
      <c r="H96" s="14" t="n"/>
      <c r="I96" s="14" t="n"/>
    </row>
    <row r="97">
      <c r="A97" s="14" t="n"/>
      <c r="B97" s="14" t="n"/>
      <c r="C97" s="14" t="n"/>
      <c r="D97" s="14" t="n"/>
      <c r="E97" s="14" t="n"/>
      <c r="F97" s="21" t="n"/>
      <c r="G97" s="21" t="n"/>
      <c r="H97" s="14" t="n"/>
      <c r="I97" s="14" t="n"/>
    </row>
    <row r="98">
      <c r="A98" s="14" t="n"/>
      <c r="B98" s="14" t="n"/>
      <c r="C98" s="14" t="n"/>
      <c r="D98" s="14" t="n"/>
      <c r="E98" s="14" t="n"/>
      <c r="F98" s="21" t="n"/>
      <c r="G98" s="21" t="n"/>
      <c r="H98" s="14" t="n"/>
      <c r="I98" s="14" t="n"/>
    </row>
    <row r="99">
      <c r="A99" s="14" t="n"/>
      <c r="B99" s="14" t="n"/>
      <c r="C99" s="14" t="n"/>
      <c r="D99" s="14" t="n"/>
      <c r="E99" s="14" t="n"/>
      <c r="F99" s="21" t="n"/>
      <c r="G99" s="21" t="n"/>
      <c r="H99" s="14" t="n"/>
      <c r="I99" s="14" t="n"/>
    </row>
    <row r="100">
      <c r="A100" s="14" t="n"/>
      <c r="B100" s="14" t="n"/>
      <c r="C100" s="14" t="n"/>
      <c r="D100" s="14" t="n"/>
      <c r="E100" s="14" t="n"/>
      <c r="F100" s="21" t="n"/>
      <c r="G100" s="21" t="n"/>
      <c r="H100" s="14" t="n"/>
      <c r="I100" s="14" t="n"/>
    </row>
    <row r="101">
      <c r="A101" s="14" t="n"/>
      <c r="B101" s="14" t="n"/>
      <c r="C101" s="14" t="n"/>
      <c r="D101" s="14" t="n"/>
      <c r="E101" s="14" t="n"/>
      <c r="F101" s="21" t="n"/>
      <c r="G101" s="21" t="n"/>
      <c r="H101" s="14" t="n"/>
      <c r="I101" s="14" t="n"/>
    </row>
    <row r="102">
      <c r="A102" s="14" t="n"/>
      <c r="B102" s="14" t="n"/>
      <c r="C102" s="14" t="n"/>
      <c r="D102" s="14" t="n"/>
      <c r="E102" s="14" t="n"/>
      <c r="F102" s="21" t="n"/>
      <c r="G102" s="21" t="n"/>
      <c r="H102" s="14" t="n"/>
      <c r="I102" s="14" t="n"/>
    </row>
    <row r="103">
      <c r="A103" s="14" t="n"/>
      <c r="B103" s="14" t="n"/>
      <c r="C103" s="14" t="n"/>
      <c r="D103" s="14" t="n"/>
      <c r="E103" s="14" t="n"/>
      <c r="F103" s="21" t="n"/>
      <c r="G103" s="21" t="n"/>
      <c r="H103" s="14" t="n"/>
      <c r="I103" s="14" t="n"/>
    </row>
    <row r="104">
      <c r="A104" s="14" t="n"/>
      <c r="B104" s="14" t="n"/>
      <c r="C104" s="14" t="n"/>
      <c r="D104" s="14" t="n"/>
      <c r="E104" s="14" t="n"/>
      <c r="F104" s="21" t="n"/>
      <c r="G104" s="21" t="n"/>
      <c r="H104" s="14" t="n"/>
      <c r="I104" s="14" t="n"/>
    </row>
    <row r="105">
      <c r="A105" s="14" t="n"/>
      <c r="B105" s="14" t="n"/>
      <c r="C105" s="14" t="n"/>
      <c r="D105" s="14" t="n"/>
      <c r="E105" s="14" t="n"/>
      <c r="F105" s="21" t="n"/>
      <c r="G105" s="21" t="n"/>
      <c r="H105" s="14" t="n"/>
      <c r="I105" s="14" t="n"/>
    </row>
    <row r="106">
      <c r="A106" s="14" t="n"/>
      <c r="B106" s="14" t="n"/>
      <c r="C106" s="14" t="n"/>
      <c r="D106" s="14" t="n"/>
      <c r="E106" s="14" t="n"/>
      <c r="F106" s="21" t="n"/>
      <c r="G106" s="21" t="n"/>
      <c r="H106" s="14" t="n"/>
      <c r="I106" s="14" t="n"/>
    </row>
    <row r="107">
      <c r="A107" s="14" t="n"/>
      <c r="B107" s="14" t="n"/>
      <c r="C107" s="14" t="n"/>
      <c r="D107" s="14" t="n"/>
      <c r="E107" s="14" t="n"/>
      <c r="F107" s="21" t="n"/>
      <c r="G107" s="21" t="n"/>
      <c r="H107" s="14" t="n"/>
      <c r="I107" s="14" t="n"/>
    </row>
    <row r="108">
      <c r="A108" s="14" t="n"/>
      <c r="B108" s="14" t="n"/>
      <c r="C108" s="14" t="n"/>
      <c r="D108" s="14" t="n"/>
      <c r="E108" s="14" t="n"/>
      <c r="F108" s="21" t="n"/>
      <c r="G108" s="21" t="n"/>
      <c r="H108" s="14" t="n"/>
      <c r="I108" s="14" t="n"/>
    </row>
    <row r="109">
      <c r="A109" s="14" t="n"/>
      <c r="B109" s="14" t="n"/>
      <c r="C109" s="14" t="n"/>
      <c r="D109" s="14" t="n"/>
      <c r="E109" s="14" t="n"/>
      <c r="F109" s="21" t="n"/>
      <c r="G109" s="21" t="n"/>
      <c r="H109" s="14" t="n"/>
      <c r="I109" s="14" t="n"/>
    </row>
    <row r="110">
      <c r="A110" s="14" t="n"/>
      <c r="B110" s="14" t="n"/>
      <c r="C110" s="14" t="n"/>
      <c r="D110" s="14" t="n"/>
      <c r="E110" s="14" t="n"/>
      <c r="F110" s="21" t="n"/>
      <c r="G110" s="21" t="n"/>
      <c r="H110" s="14" t="n"/>
      <c r="I110" s="14" t="n"/>
    </row>
    <row r="111">
      <c r="A111" s="14" t="n"/>
      <c r="B111" s="14" t="n"/>
      <c r="C111" s="14" t="n"/>
      <c r="D111" s="14" t="n"/>
      <c r="E111" s="14" t="n"/>
      <c r="F111" s="21" t="n"/>
      <c r="G111" s="21" t="n"/>
      <c r="H111" s="14" t="n"/>
      <c r="I111" s="14" t="n"/>
    </row>
    <row r="112">
      <c r="A112" s="14" t="n"/>
      <c r="B112" s="14" t="n"/>
      <c r="C112" s="14" t="n"/>
      <c r="D112" s="14" t="n"/>
      <c r="E112" s="14" t="n"/>
      <c r="F112" s="21" t="n"/>
      <c r="G112" s="21" t="n"/>
      <c r="H112" s="14" t="n"/>
      <c r="I112" s="14" t="n"/>
    </row>
    <row r="113">
      <c r="A113" s="14" t="n"/>
      <c r="B113" s="14" t="n"/>
      <c r="C113" s="14" t="n"/>
      <c r="D113" s="14" t="n"/>
      <c r="E113" s="14" t="n"/>
      <c r="F113" s="21" t="n"/>
      <c r="G113" s="21" t="n"/>
      <c r="H113" s="14" t="n"/>
      <c r="I113" s="14" t="n"/>
    </row>
    <row r="114">
      <c r="A114" s="14" t="n"/>
      <c r="B114" s="14" t="n"/>
      <c r="C114" s="14" t="n"/>
      <c r="D114" s="14" t="n"/>
      <c r="E114" s="14" t="n"/>
      <c r="F114" s="21" t="n"/>
      <c r="G114" s="21" t="n"/>
      <c r="H114" s="14" t="n"/>
      <c r="I114" s="14" t="n"/>
    </row>
    <row r="115">
      <c r="A115" s="14" t="n"/>
      <c r="B115" s="14" t="n"/>
      <c r="C115" s="14" t="n"/>
      <c r="D115" s="14" t="n"/>
      <c r="E115" s="14" t="n"/>
      <c r="F115" s="21" t="n"/>
      <c r="G115" s="21" t="n"/>
      <c r="H115" s="14" t="n"/>
      <c r="I115" s="14" t="n"/>
    </row>
    <row r="116">
      <c r="A116" s="14" t="n"/>
      <c r="B116" s="14" t="n"/>
      <c r="C116" s="14" t="n"/>
      <c r="D116" s="14" t="n"/>
      <c r="E116" s="14" t="n"/>
      <c r="F116" s="21" t="n"/>
      <c r="G116" s="21" t="n"/>
      <c r="H116" s="14" t="n"/>
      <c r="I116" s="14" t="n"/>
    </row>
    <row r="117">
      <c r="A117" s="14" t="n"/>
      <c r="B117" s="14" t="n"/>
      <c r="C117" s="14" t="n"/>
      <c r="D117" s="14" t="n"/>
      <c r="E117" s="14" t="n"/>
      <c r="F117" s="21" t="n"/>
      <c r="G117" s="21" t="n"/>
      <c r="H117" s="14" t="n"/>
      <c r="I117" s="14" t="n"/>
    </row>
    <row r="118">
      <c r="A118" s="14" t="n"/>
      <c r="B118" s="14" t="n"/>
      <c r="C118" s="14" t="n"/>
      <c r="D118" s="14" t="n"/>
      <c r="E118" s="14" t="n"/>
      <c r="F118" s="21" t="n"/>
      <c r="G118" s="21" t="n"/>
      <c r="H118" s="14" t="n"/>
      <c r="I118" s="14" t="n"/>
    </row>
    <row r="119">
      <c r="A119" s="14" t="n"/>
      <c r="B119" s="14" t="n"/>
      <c r="C119" s="14" t="n"/>
      <c r="D119" s="14" t="n"/>
      <c r="E119" s="14" t="n"/>
      <c r="F119" s="21" t="n"/>
      <c r="G119" s="21" t="n"/>
      <c r="H119" s="14" t="n"/>
      <c r="I119" s="14" t="n"/>
    </row>
    <row r="120">
      <c r="A120" s="14" t="n"/>
      <c r="B120" s="14" t="n"/>
      <c r="C120" s="14" t="n"/>
      <c r="D120" s="14" t="n"/>
      <c r="E120" s="14" t="n"/>
      <c r="F120" s="21" t="n"/>
      <c r="G120" s="21" t="n"/>
      <c r="H120" s="14" t="n"/>
      <c r="I120" s="14" t="n"/>
    </row>
    <row r="121">
      <c r="A121" s="14" t="n"/>
      <c r="B121" s="14" t="n"/>
      <c r="C121" s="14" t="n"/>
      <c r="D121" s="14" t="n"/>
      <c r="E121" s="14" t="n"/>
      <c r="F121" s="21" t="n"/>
      <c r="G121" s="21" t="n"/>
      <c r="H121" s="14" t="n"/>
      <c r="I121" s="14" t="n"/>
    </row>
    <row r="122">
      <c r="A122" s="14" t="n"/>
      <c r="B122" s="14" t="n"/>
      <c r="C122" s="14" t="n"/>
      <c r="D122" s="14" t="n"/>
      <c r="E122" s="14" t="n"/>
      <c r="F122" s="21" t="n"/>
      <c r="G122" s="21" t="n"/>
      <c r="H122" s="14" t="n"/>
      <c r="I122" s="14" t="n"/>
    </row>
    <row r="123">
      <c r="A123" s="14" t="n"/>
      <c r="B123" s="14" t="n"/>
      <c r="C123" s="14" t="n"/>
      <c r="D123" s="14" t="n"/>
      <c r="E123" s="14" t="n"/>
      <c r="F123" s="21" t="n"/>
      <c r="G123" s="21" t="n"/>
      <c r="H123" s="14" t="n"/>
      <c r="I123" s="14" t="n"/>
    </row>
    <row r="124">
      <c r="A124" s="14" t="n"/>
      <c r="B124" s="14" t="n"/>
      <c r="C124" s="14" t="n"/>
      <c r="D124" s="14" t="n"/>
      <c r="E124" s="14" t="n"/>
      <c r="F124" s="21" t="n"/>
      <c r="G124" s="21" t="n"/>
      <c r="H124" s="14" t="n"/>
      <c r="I124" s="14" t="n"/>
    </row>
    <row r="125">
      <c r="A125" s="14" t="n"/>
      <c r="B125" s="14" t="n"/>
      <c r="C125" s="14" t="n"/>
      <c r="D125" s="14" t="n"/>
      <c r="E125" s="14" t="n"/>
      <c r="F125" s="21" t="n"/>
      <c r="G125" s="21" t="n"/>
      <c r="H125" s="14" t="n"/>
      <c r="I125" s="14" t="n"/>
    </row>
    <row r="126">
      <c r="A126" s="14" t="n"/>
      <c r="B126" s="14" t="n"/>
      <c r="C126" s="14" t="n"/>
      <c r="D126" s="14" t="n"/>
      <c r="E126" s="14" t="n"/>
      <c r="F126" s="21" t="n"/>
      <c r="G126" s="21" t="n"/>
      <c r="H126" s="14" t="n"/>
      <c r="I126" s="14" t="n"/>
    </row>
    <row r="127">
      <c r="A127" s="14" t="n"/>
      <c r="B127" s="14" t="n"/>
      <c r="C127" s="14" t="n"/>
      <c r="D127" s="14" t="n"/>
      <c r="E127" s="14" t="n"/>
      <c r="F127" s="21" t="n"/>
      <c r="G127" s="21" t="n"/>
      <c r="H127" s="14" t="n"/>
      <c r="I127" s="14" t="n"/>
    </row>
    <row r="128">
      <c r="A128" s="14" t="n"/>
      <c r="B128" s="14" t="n"/>
      <c r="C128" s="14" t="n"/>
      <c r="D128" s="14" t="n"/>
      <c r="E128" s="14" t="n"/>
      <c r="F128" s="21" t="n"/>
      <c r="G128" s="21" t="n"/>
      <c r="H128" s="14" t="n"/>
      <c r="I128" s="14" t="n"/>
    </row>
    <row r="129">
      <c r="A129" s="14" t="n"/>
      <c r="B129" s="14" t="n"/>
      <c r="C129" s="14" t="n"/>
      <c r="D129" s="14" t="n"/>
      <c r="E129" s="14" t="n"/>
      <c r="F129" s="21" t="n"/>
      <c r="G129" s="21" t="n"/>
      <c r="H129" s="14" t="n"/>
      <c r="I129" s="14" t="n"/>
    </row>
    <row r="130">
      <c r="A130" s="14" t="n"/>
      <c r="B130" s="14" t="n"/>
      <c r="C130" s="14" t="n"/>
      <c r="D130" s="14" t="n"/>
      <c r="E130" s="14" t="n"/>
      <c r="F130" s="21" t="n"/>
      <c r="G130" s="21" t="n"/>
      <c r="H130" s="14" t="n"/>
      <c r="I130" s="14" t="n"/>
    </row>
    <row r="131">
      <c r="A131" s="14" t="n"/>
      <c r="B131" s="14" t="n"/>
      <c r="C131" s="14" t="n"/>
      <c r="D131" s="14" t="n"/>
      <c r="E131" s="14" t="n"/>
      <c r="F131" s="21" t="n"/>
      <c r="G131" s="21" t="n"/>
      <c r="H131" s="14" t="n"/>
      <c r="I131" s="14" t="n"/>
    </row>
    <row r="132">
      <c r="A132" s="14" t="n"/>
      <c r="B132" s="14" t="n"/>
      <c r="C132" s="14" t="n"/>
      <c r="D132" s="14" t="n"/>
      <c r="E132" s="14" t="n"/>
      <c r="F132" s="21" t="n"/>
      <c r="G132" s="21" t="n"/>
      <c r="H132" s="14" t="n"/>
      <c r="I132" s="14" t="n"/>
    </row>
    <row r="133">
      <c r="A133" s="14" t="n"/>
      <c r="B133" s="14" t="n"/>
      <c r="C133" s="14" t="n"/>
      <c r="D133" s="14" t="n"/>
      <c r="E133" s="14" t="n"/>
      <c r="F133" s="21" t="n"/>
      <c r="G133" s="21" t="n"/>
      <c r="H133" s="14" t="n"/>
      <c r="I133" s="14" t="n"/>
    </row>
    <row r="134">
      <c r="A134" s="14" t="n"/>
      <c r="B134" s="14" t="n"/>
      <c r="C134" s="14" t="n"/>
      <c r="D134" s="14" t="n"/>
      <c r="E134" s="14" t="n"/>
      <c r="F134" s="21" t="n"/>
      <c r="G134" s="21" t="n"/>
      <c r="H134" s="14" t="n"/>
      <c r="I134" s="14" t="n"/>
    </row>
    <row r="135">
      <c r="A135" s="14" t="n"/>
      <c r="B135" s="14" t="n"/>
      <c r="C135" s="14" t="n"/>
      <c r="D135" s="14" t="n"/>
      <c r="E135" s="14" t="n"/>
      <c r="F135" s="21" t="n"/>
      <c r="G135" s="21" t="n"/>
      <c r="H135" s="14" t="n"/>
      <c r="I135" s="14" t="n"/>
    </row>
    <row r="136">
      <c r="A136" s="14" t="n"/>
      <c r="B136" s="14" t="n"/>
      <c r="C136" s="14" t="n"/>
      <c r="D136" s="14" t="n"/>
      <c r="E136" s="14" t="n"/>
      <c r="F136" s="21" t="n"/>
      <c r="G136" s="21" t="n"/>
      <c r="H136" s="14" t="n"/>
      <c r="I136" s="14" t="n"/>
    </row>
    <row r="137">
      <c r="A137" s="14" t="n"/>
      <c r="B137" s="14" t="n"/>
      <c r="C137" s="14" t="n"/>
      <c r="D137" s="14" t="n"/>
      <c r="E137" s="14" t="n"/>
      <c r="F137" s="21" t="n"/>
      <c r="G137" s="21" t="n"/>
      <c r="H137" s="14" t="n"/>
      <c r="I137" s="14" t="n"/>
    </row>
    <row r="138">
      <c r="A138" s="14" t="n"/>
      <c r="B138" s="14" t="n"/>
      <c r="C138" s="14" t="n"/>
      <c r="D138" s="14" t="n"/>
      <c r="E138" s="14" t="n"/>
      <c r="F138" s="21" t="n"/>
      <c r="G138" s="21" t="n"/>
      <c r="H138" s="14" t="n"/>
      <c r="I138" s="14" t="n"/>
    </row>
    <row r="139">
      <c r="A139" s="14" t="n"/>
      <c r="B139" s="14" t="n"/>
      <c r="C139" s="14" t="n"/>
      <c r="D139" s="14" t="n"/>
      <c r="E139" s="14" t="n"/>
      <c r="F139" s="21" t="n"/>
      <c r="G139" s="21" t="n"/>
      <c r="H139" s="14" t="n"/>
      <c r="I139" s="14" t="n"/>
    </row>
    <row r="140">
      <c r="A140" s="14" t="n"/>
      <c r="B140" s="14" t="n"/>
      <c r="C140" s="14" t="n"/>
      <c r="D140" s="14" t="n"/>
      <c r="E140" s="14" t="n"/>
      <c r="F140" s="21" t="n"/>
      <c r="G140" s="21" t="n"/>
      <c r="H140" s="14" t="n"/>
      <c r="I140" s="14" t="n"/>
    </row>
    <row r="141">
      <c r="A141" s="14" t="n"/>
      <c r="B141" s="14" t="n"/>
      <c r="C141" s="14" t="n"/>
      <c r="D141" s="14" t="n"/>
      <c r="E141" s="14" t="n"/>
      <c r="F141" s="21" t="n"/>
      <c r="G141" s="21" t="n"/>
      <c r="H141" s="14" t="n"/>
      <c r="I141" s="14" t="n"/>
    </row>
    <row r="142">
      <c r="A142" s="14" t="n"/>
      <c r="B142" s="14" t="n"/>
      <c r="C142" s="14" t="n"/>
      <c r="D142" s="14" t="n"/>
      <c r="E142" s="14" t="n"/>
      <c r="F142" s="21" t="n"/>
      <c r="G142" s="21" t="n"/>
      <c r="H142" s="14" t="n"/>
      <c r="I142" s="14" t="n"/>
    </row>
    <row r="143">
      <c r="A143" s="14" t="n"/>
      <c r="B143" s="14" t="n"/>
      <c r="C143" s="14" t="n"/>
      <c r="D143" s="14" t="n"/>
      <c r="E143" s="14" t="n"/>
      <c r="F143" s="21" t="n"/>
      <c r="G143" s="21" t="n"/>
      <c r="H143" s="14" t="n"/>
      <c r="I143" s="14" t="n"/>
    </row>
    <row r="144">
      <c r="A144" s="14" t="n"/>
      <c r="B144" s="14" t="n"/>
      <c r="C144" s="14" t="n"/>
      <c r="D144" s="14" t="n"/>
      <c r="E144" s="14" t="n"/>
      <c r="F144" s="21" t="n"/>
      <c r="G144" s="21" t="n"/>
      <c r="H144" s="14" t="n"/>
      <c r="I144" s="14" t="n"/>
    </row>
    <row r="145">
      <c r="A145" s="14" t="n"/>
      <c r="B145" s="14" t="n"/>
      <c r="C145" s="14" t="n"/>
      <c r="D145" s="14" t="n"/>
      <c r="E145" s="14" t="n"/>
      <c r="F145" s="21" t="n"/>
      <c r="G145" s="21" t="n"/>
      <c r="H145" s="14" t="n"/>
      <c r="I145" s="14" t="n"/>
    </row>
    <row r="146">
      <c r="A146" s="14" t="n"/>
      <c r="B146" s="14" t="n"/>
      <c r="C146" s="14" t="n"/>
      <c r="D146" s="14" t="n"/>
      <c r="E146" s="14" t="n"/>
      <c r="F146" s="21" t="n"/>
      <c r="G146" s="21" t="n"/>
      <c r="H146" s="14" t="n"/>
      <c r="I146" s="14" t="n"/>
    </row>
    <row r="147">
      <c r="A147" s="14" t="n"/>
      <c r="B147" s="14" t="n"/>
      <c r="C147" s="14" t="n"/>
      <c r="D147" s="14" t="n"/>
      <c r="E147" s="14" t="n"/>
      <c r="F147" s="21" t="n"/>
      <c r="G147" s="21" t="n"/>
      <c r="H147" s="14" t="n"/>
      <c r="I147" s="14" t="n"/>
    </row>
    <row r="148">
      <c r="A148" s="14" t="n"/>
      <c r="B148" s="14" t="n"/>
      <c r="C148" s="14" t="n"/>
      <c r="D148" s="14" t="n"/>
      <c r="E148" s="14" t="n"/>
      <c r="F148" s="21" t="n"/>
      <c r="G148" s="21" t="n"/>
      <c r="H148" s="14" t="n"/>
      <c r="I148" s="14" t="n"/>
    </row>
    <row r="149">
      <c r="A149" s="14" t="n"/>
      <c r="B149" s="14" t="n"/>
      <c r="C149" s="14" t="n"/>
      <c r="D149" s="14" t="n"/>
      <c r="E149" s="14" t="n"/>
      <c r="F149" s="21" t="n"/>
      <c r="G149" s="21" t="n"/>
      <c r="H149" s="14" t="n"/>
      <c r="I149" s="14" t="n"/>
    </row>
    <row r="150">
      <c r="A150" s="14" t="n"/>
      <c r="B150" s="14" t="n"/>
      <c r="C150" s="14" t="n"/>
      <c r="D150" s="14" t="n"/>
      <c r="E150" s="14" t="n"/>
      <c r="F150" s="21" t="n"/>
      <c r="G150" s="21" t="n"/>
      <c r="H150" s="14" t="n"/>
      <c r="I150" s="14" t="n"/>
    </row>
    <row r="151">
      <c r="A151" s="14" t="n"/>
      <c r="B151" s="14" t="n"/>
      <c r="C151" s="14" t="n"/>
      <c r="D151" s="14" t="n"/>
      <c r="E151" s="14" t="n"/>
      <c r="F151" s="21" t="n"/>
      <c r="G151" s="21" t="n"/>
      <c r="H151" s="14" t="n"/>
      <c r="I151" s="14" t="n"/>
    </row>
    <row r="152">
      <c r="A152" s="14" t="n"/>
      <c r="B152" s="14" t="n"/>
      <c r="C152" s="14" t="n"/>
      <c r="D152" s="14" t="n"/>
      <c r="E152" s="14" t="n"/>
      <c r="F152" s="21" t="n"/>
      <c r="G152" s="21" t="n"/>
      <c r="H152" s="14" t="n"/>
      <c r="I152" s="14" t="n"/>
    </row>
    <row r="153">
      <c r="A153" s="14" t="n"/>
      <c r="B153" s="14" t="n"/>
      <c r="C153" s="14" t="n"/>
      <c r="D153" s="14" t="n"/>
      <c r="E153" s="14" t="n"/>
      <c r="F153" s="21" t="n"/>
      <c r="G153" s="21" t="n"/>
      <c r="H153" s="14" t="n"/>
      <c r="I153" s="14" t="n"/>
    </row>
    <row r="154">
      <c r="A154" s="14" t="n"/>
      <c r="B154" s="14" t="n"/>
      <c r="C154" s="14" t="n"/>
      <c r="D154" s="14" t="n"/>
      <c r="E154" s="14" t="n"/>
      <c r="F154" s="21" t="n"/>
      <c r="G154" s="21" t="n"/>
      <c r="H154" s="14" t="n"/>
      <c r="I154" s="14" t="n"/>
    </row>
    <row r="155">
      <c r="A155" s="14" t="n"/>
      <c r="B155" s="14" t="n"/>
      <c r="C155" s="14" t="n"/>
      <c r="D155" s="14" t="n"/>
      <c r="E155" s="14" t="n"/>
      <c r="F155" s="21" t="n"/>
      <c r="G155" s="21" t="n"/>
      <c r="H155" s="14" t="n"/>
      <c r="I155" s="14" t="n"/>
    </row>
    <row r="156">
      <c r="A156" s="14" t="n"/>
      <c r="B156" s="14" t="n"/>
      <c r="C156" s="14" t="n"/>
      <c r="D156" s="14" t="n"/>
      <c r="E156" s="14" t="n"/>
      <c r="F156" s="21" t="n"/>
      <c r="G156" s="21" t="n"/>
      <c r="H156" s="14" t="n"/>
      <c r="I156" s="14" t="n"/>
    </row>
    <row r="157">
      <c r="A157" s="14" t="n"/>
      <c r="B157" s="14" t="n"/>
      <c r="C157" s="14" t="n"/>
      <c r="D157" s="14" t="n"/>
      <c r="E157" s="14" t="n"/>
      <c r="F157" s="21" t="n"/>
      <c r="G157" s="21" t="n"/>
      <c r="H157" s="14" t="n"/>
      <c r="I157" s="14" t="n"/>
    </row>
    <row r="158">
      <c r="A158" s="14" t="n"/>
      <c r="B158" s="14" t="n"/>
      <c r="C158" s="14" t="n"/>
      <c r="D158" s="14" t="n"/>
      <c r="E158" s="14" t="n"/>
      <c r="F158" s="21" t="n"/>
      <c r="G158" s="21" t="n"/>
      <c r="H158" s="14" t="n"/>
      <c r="I158" s="14" t="n"/>
    </row>
    <row r="159">
      <c r="A159" s="14" t="n"/>
      <c r="B159" s="14" t="n"/>
      <c r="C159" s="14" t="n"/>
      <c r="D159" s="14" t="n"/>
      <c r="E159" s="14" t="n"/>
      <c r="F159" s="21" t="n"/>
      <c r="G159" s="21" t="n"/>
      <c r="H159" s="14" t="n"/>
      <c r="I159" s="14" t="n"/>
    </row>
    <row r="160">
      <c r="A160" s="14" t="n"/>
      <c r="B160" s="14" t="n"/>
      <c r="C160" s="14" t="n"/>
      <c r="D160" s="14" t="n"/>
      <c r="E160" s="14" t="n"/>
      <c r="F160" s="21" t="n"/>
      <c r="G160" s="21" t="n"/>
      <c r="H160" s="14" t="n"/>
      <c r="I160" s="14" t="n"/>
    </row>
    <row r="161">
      <c r="A161" s="14" t="n"/>
      <c r="B161" s="14" t="n"/>
      <c r="C161" s="14" t="n"/>
      <c r="D161" s="14" t="n"/>
      <c r="E161" s="14" t="n"/>
      <c r="F161" s="21" t="n"/>
      <c r="G161" s="21" t="n"/>
      <c r="H161" s="14" t="n"/>
      <c r="I161" s="14" t="n"/>
    </row>
    <row r="162">
      <c r="A162" s="14" t="n"/>
      <c r="B162" s="14" t="n"/>
      <c r="C162" s="14" t="n"/>
      <c r="D162" s="14" t="n"/>
      <c r="E162" s="14" t="n"/>
      <c r="F162" s="21" t="n"/>
      <c r="G162" s="21" t="n"/>
      <c r="H162" s="14" t="n"/>
      <c r="I162" s="14" t="n"/>
    </row>
    <row r="163">
      <c r="A163" s="14" t="n"/>
      <c r="B163" s="14" t="n"/>
      <c r="C163" s="14" t="n"/>
      <c r="D163" s="14" t="n"/>
      <c r="E163" s="14" t="n"/>
      <c r="F163" s="21" t="n"/>
      <c r="G163" s="21" t="n"/>
      <c r="H163" s="14" t="n"/>
      <c r="I163" s="14" t="n"/>
    </row>
    <row r="164">
      <c r="A164" s="14" t="n"/>
      <c r="B164" s="14" t="n"/>
      <c r="C164" s="14" t="n"/>
      <c r="D164" s="14" t="n"/>
      <c r="E164" s="14" t="n"/>
      <c r="F164" s="21" t="n"/>
      <c r="G164" s="21" t="n"/>
      <c r="H164" s="14" t="n"/>
      <c r="I164" s="14" t="n"/>
    </row>
    <row r="165">
      <c r="A165" s="14" t="n"/>
      <c r="B165" s="14" t="n"/>
      <c r="C165" s="14" t="n"/>
      <c r="D165" s="14" t="n"/>
      <c r="E165" s="14" t="n"/>
      <c r="F165" s="21" t="n"/>
      <c r="G165" s="21" t="n"/>
      <c r="H165" s="14" t="n"/>
      <c r="I165" s="14" t="n"/>
    </row>
    <row r="166">
      <c r="A166" s="14" t="n"/>
      <c r="B166" s="14" t="n"/>
      <c r="C166" s="14" t="n"/>
      <c r="D166" s="14" t="n"/>
      <c r="E166" s="14" t="n"/>
      <c r="F166" s="21" t="n"/>
      <c r="G166" s="21" t="n"/>
      <c r="H166" s="14" t="n"/>
      <c r="I166" s="14" t="n"/>
    </row>
    <row r="167">
      <c r="A167" s="14" t="n"/>
      <c r="B167" s="14" t="n"/>
      <c r="C167" s="14" t="n"/>
      <c r="D167" s="14" t="n"/>
      <c r="E167" s="14" t="n"/>
      <c r="F167" s="21" t="n"/>
      <c r="G167" s="21" t="n"/>
      <c r="H167" s="14" t="n"/>
      <c r="I167" s="14" t="n"/>
    </row>
    <row r="168">
      <c r="A168" s="14" t="n"/>
      <c r="B168" s="14" t="n"/>
      <c r="C168" s="14" t="n"/>
      <c r="D168" s="14" t="n"/>
      <c r="E168" s="14" t="n"/>
      <c r="F168" s="21" t="n"/>
      <c r="G168" s="21" t="n"/>
      <c r="H168" s="14" t="n"/>
      <c r="I168" s="14" t="n"/>
    </row>
    <row r="169">
      <c r="A169" s="14" t="n"/>
      <c r="B169" s="14" t="n"/>
      <c r="C169" s="14" t="n"/>
      <c r="D169" s="14" t="n"/>
      <c r="E169" s="14" t="n"/>
      <c r="F169" s="21" t="n"/>
      <c r="G169" s="21" t="n"/>
      <c r="H169" s="14" t="n"/>
      <c r="I169" s="14" t="n"/>
    </row>
    <row r="170">
      <c r="A170" s="14" t="n"/>
      <c r="B170" s="14" t="n"/>
      <c r="C170" s="14" t="n"/>
      <c r="D170" s="14" t="n"/>
      <c r="E170" s="14" t="n"/>
      <c r="F170" s="21" t="n"/>
      <c r="G170" s="21" t="n"/>
      <c r="H170" s="14" t="n"/>
      <c r="I170" s="14" t="n"/>
    </row>
    <row r="171">
      <c r="A171" s="14" t="n"/>
      <c r="B171" s="14" t="n"/>
      <c r="C171" s="14" t="n"/>
      <c r="D171" s="14" t="n"/>
      <c r="E171" s="14" t="n"/>
      <c r="F171" s="21" t="n"/>
      <c r="G171" s="21" t="n"/>
      <c r="H171" s="14" t="n"/>
      <c r="I171" s="14" t="n"/>
    </row>
    <row r="172">
      <c r="A172" s="14" t="n"/>
      <c r="B172" s="14" t="n"/>
      <c r="C172" s="14" t="n"/>
      <c r="D172" s="14" t="n"/>
      <c r="E172" s="14" t="n"/>
      <c r="F172" s="21" t="n"/>
      <c r="G172" s="21" t="n"/>
      <c r="H172" s="14" t="n"/>
      <c r="I172" s="14" t="n"/>
    </row>
    <row r="173">
      <c r="A173" s="14" t="n"/>
      <c r="B173" s="14" t="n"/>
      <c r="C173" s="14" t="n"/>
      <c r="D173" s="14" t="n"/>
      <c r="E173" s="14" t="n"/>
      <c r="F173" s="21" t="n"/>
      <c r="G173" s="21" t="n"/>
      <c r="H173" s="14" t="n"/>
      <c r="I173" s="14" t="n"/>
    </row>
    <row r="174">
      <c r="A174" s="14" t="n"/>
      <c r="B174" s="14" t="n"/>
      <c r="C174" s="14" t="n"/>
      <c r="D174" s="14" t="n"/>
      <c r="E174" s="14" t="n"/>
      <c r="F174" s="21" t="n"/>
      <c r="G174" s="21" t="n"/>
      <c r="H174" s="14" t="n"/>
      <c r="I174" s="14" t="n"/>
    </row>
    <row r="175">
      <c r="A175" s="14" t="n"/>
      <c r="B175" s="14" t="n"/>
      <c r="C175" s="14" t="n"/>
      <c r="D175" s="14" t="n"/>
      <c r="E175" s="14" t="n"/>
      <c r="F175" s="21" t="n"/>
      <c r="G175" s="21" t="n"/>
      <c r="H175" s="14" t="n"/>
      <c r="I175" s="14" t="n"/>
    </row>
    <row r="176">
      <c r="A176" s="14" t="n"/>
      <c r="B176" s="14" t="n"/>
      <c r="C176" s="14" t="n"/>
      <c r="D176" s="14" t="n"/>
      <c r="E176" s="14" t="n"/>
      <c r="F176" s="21" t="n"/>
      <c r="G176" s="21" t="n"/>
      <c r="H176" s="14" t="n"/>
      <c r="I176" s="14" t="n"/>
    </row>
    <row r="177">
      <c r="A177" s="14" t="n"/>
      <c r="B177" s="14" t="n"/>
      <c r="C177" s="14" t="n"/>
      <c r="D177" s="14" t="n"/>
      <c r="E177" s="14" t="n"/>
      <c r="F177" s="21" t="n"/>
      <c r="G177" s="21" t="n"/>
      <c r="H177" s="14" t="n"/>
      <c r="I177" s="14" t="n"/>
    </row>
    <row r="178">
      <c r="A178" s="14" t="n"/>
      <c r="B178" s="14" t="n"/>
      <c r="C178" s="14" t="n"/>
      <c r="D178" s="14" t="n"/>
      <c r="E178" s="14" t="n"/>
      <c r="F178" s="21" t="n"/>
      <c r="G178" s="21" t="n"/>
      <c r="H178" s="14" t="n"/>
      <c r="I178" s="14" t="n"/>
    </row>
    <row r="179">
      <c r="A179" s="14" t="n"/>
      <c r="B179" s="14" t="n"/>
      <c r="C179" s="14" t="n"/>
      <c r="D179" s="14" t="n"/>
      <c r="E179" s="14" t="n"/>
      <c r="F179" s="21" t="n"/>
      <c r="G179" s="21" t="n"/>
      <c r="H179" s="14" t="n"/>
      <c r="I179" s="14" t="n"/>
    </row>
    <row r="180">
      <c r="A180" s="14" t="n"/>
      <c r="B180" s="14" t="n"/>
      <c r="C180" s="14" t="n"/>
      <c r="D180" s="14" t="n"/>
      <c r="E180" s="14" t="n"/>
      <c r="F180" s="21" t="n"/>
      <c r="G180" s="21" t="n"/>
      <c r="H180" s="14" t="n"/>
      <c r="I180" s="14" t="n"/>
    </row>
    <row r="181">
      <c r="A181" s="14" t="n"/>
      <c r="B181" s="14" t="n"/>
      <c r="C181" s="14" t="n"/>
      <c r="D181" s="14" t="n"/>
      <c r="E181" s="14" t="n"/>
      <c r="F181" s="21" t="n"/>
      <c r="G181" s="21" t="n"/>
      <c r="H181" s="14" t="n"/>
      <c r="I181" s="14" t="n"/>
    </row>
    <row r="182">
      <c r="A182" s="14" t="n"/>
      <c r="B182" s="14" t="n"/>
      <c r="C182" s="14" t="n"/>
      <c r="D182" s="14" t="n"/>
      <c r="E182" s="14" t="n"/>
      <c r="F182" s="21" t="n"/>
      <c r="G182" s="21" t="n"/>
      <c r="H182" s="14" t="n"/>
      <c r="I182" s="14" t="n"/>
    </row>
    <row r="183">
      <c r="A183" s="14" t="n"/>
      <c r="B183" s="14" t="n"/>
      <c r="C183" s="14" t="n"/>
      <c r="D183" s="14" t="n"/>
      <c r="E183" s="14" t="n"/>
      <c r="F183" s="21" t="n"/>
      <c r="G183" s="21" t="n"/>
      <c r="H183" s="14" t="n"/>
      <c r="I183" s="14" t="n"/>
    </row>
    <row r="184">
      <c r="A184" s="14" t="n"/>
      <c r="B184" s="14" t="n"/>
      <c r="C184" s="14" t="n"/>
      <c r="D184" s="14" t="n"/>
      <c r="E184" s="14" t="n"/>
      <c r="F184" s="21" t="n"/>
      <c r="G184" s="21" t="n"/>
      <c r="H184" s="14" t="n"/>
      <c r="I184" s="14" t="n"/>
    </row>
    <row r="185">
      <c r="A185" s="14" t="n"/>
      <c r="B185" s="14" t="n"/>
      <c r="C185" s="14" t="n"/>
      <c r="D185" s="14" t="n"/>
      <c r="E185" s="14" t="n"/>
      <c r="F185" s="21" t="n"/>
      <c r="G185" s="21" t="n"/>
      <c r="H185" s="14" t="n"/>
      <c r="I185" s="14" t="n"/>
    </row>
    <row r="186">
      <c r="A186" s="14" t="n"/>
      <c r="B186" s="14" t="n"/>
      <c r="C186" s="14" t="n"/>
      <c r="D186" s="14" t="n"/>
      <c r="E186" s="14" t="n"/>
      <c r="F186" s="21" t="n"/>
      <c r="G186" s="21" t="n"/>
      <c r="H186" s="14" t="n"/>
      <c r="I186" s="14" t="n"/>
    </row>
    <row r="187">
      <c r="A187" s="14" t="n"/>
      <c r="B187" s="14" t="n"/>
      <c r="C187" s="14" t="n"/>
      <c r="D187" s="14" t="n"/>
      <c r="E187" s="14" t="n"/>
      <c r="F187" s="21" t="n"/>
      <c r="G187" s="21" t="n"/>
      <c r="H187" s="14" t="n"/>
      <c r="I187" s="14" t="n"/>
    </row>
    <row r="188">
      <c r="A188" s="14" t="n"/>
      <c r="B188" s="14" t="n"/>
      <c r="C188" s="14" t="n"/>
      <c r="D188" s="14" t="n"/>
      <c r="E188" s="14" t="n"/>
      <c r="F188" s="21" t="n"/>
      <c r="G188" s="21" t="n"/>
      <c r="H188" s="14" t="n"/>
      <c r="I188" s="14" t="n"/>
    </row>
    <row r="189">
      <c r="A189" s="14" t="n"/>
      <c r="B189" s="14" t="n"/>
      <c r="C189" s="14" t="n"/>
      <c r="D189" s="14" t="n"/>
      <c r="E189" s="14" t="n"/>
      <c r="F189" s="21" t="n"/>
      <c r="G189" s="21" t="n"/>
      <c r="H189" s="14" t="n"/>
      <c r="I189" s="14" t="n"/>
    </row>
    <row r="190">
      <c r="A190" s="14" t="n"/>
      <c r="B190" s="14" t="n"/>
      <c r="C190" s="14" t="n"/>
      <c r="D190" s="14" t="n"/>
      <c r="E190" s="14" t="n"/>
      <c r="F190" s="21" t="n"/>
      <c r="G190" s="21" t="n"/>
      <c r="H190" s="14" t="n"/>
      <c r="I190" s="14" t="n"/>
    </row>
    <row r="191">
      <c r="A191" s="14" t="n"/>
      <c r="B191" s="14" t="n"/>
      <c r="C191" s="14" t="n"/>
      <c r="D191" s="14" t="n"/>
      <c r="E191" s="14" t="n"/>
      <c r="F191" s="21" t="n"/>
      <c r="G191" s="21" t="n"/>
      <c r="H191" s="14" t="n"/>
      <c r="I191" s="14" t="n"/>
    </row>
    <row r="192">
      <c r="A192" s="14" t="n"/>
      <c r="B192" s="14" t="n"/>
      <c r="C192" s="14" t="n"/>
      <c r="D192" s="14" t="n"/>
      <c r="E192" s="14" t="n"/>
      <c r="F192" s="21" t="n"/>
      <c r="G192" s="21" t="n"/>
      <c r="H192" s="14" t="n"/>
      <c r="I192" s="14" t="n"/>
    </row>
    <row r="193">
      <c r="A193" s="14" t="n"/>
      <c r="B193" s="14" t="n"/>
      <c r="C193" s="14" t="n"/>
      <c r="D193" s="14" t="n"/>
      <c r="E193" s="14" t="n"/>
      <c r="F193" s="21" t="n"/>
      <c r="G193" s="21" t="n"/>
      <c r="H193" s="14" t="n"/>
      <c r="I193" s="14" t="n"/>
    </row>
    <row r="194">
      <c r="A194" s="14" t="n"/>
      <c r="B194" s="14" t="n"/>
      <c r="C194" s="14" t="n"/>
      <c r="D194" s="14" t="n"/>
      <c r="E194" s="14" t="n"/>
      <c r="F194" s="21" t="n"/>
      <c r="G194" s="21" t="n"/>
      <c r="H194" s="14" t="n"/>
      <c r="I194" s="14" t="n"/>
    </row>
    <row r="195">
      <c r="A195" s="14" t="n"/>
      <c r="B195" s="14" t="n"/>
      <c r="C195" s="14" t="n"/>
      <c r="D195" s="14" t="n"/>
      <c r="E195" s="14" t="n"/>
      <c r="F195" s="21" t="n"/>
      <c r="G195" s="21" t="n"/>
      <c r="H195" s="14" t="n"/>
      <c r="I195" s="14" t="n"/>
    </row>
    <row r="196">
      <c r="A196" s="14" t="n"/>
      <c r="B196" s="14" t="n"/>
      <c r="C196" s="14" t="n"/>
      <c r="D196" s="14" t="n"/>
      <c r="E196" s="14" t="n"/>
      <c r="F196" s="21" t="n"/>
      <c r="G196" s="21" t="n"/>
      <c r="H196" s="14" t="n"/>
      <c r="I196" s="14" t="n"/>
    </row>
    <row r="197">
      <c r="A197" s="14" t="n"/>
      <c r="B197" s="14" t="n"/>
      <c r="C197" s="14" t="n"/>
      <c r="D197" s="14" t="n"/>
      <c r="E197" s="14" t="n"/>
      <c r="F197" s="21" t="n"/>
      <c r="G197" s="21" t="n"/>
      <c r="H197" s="14" t="n"/>
      <c r="I197" s="14" t="n"/>
    </row>
    <row r="198">
      <c r="A198" s="14" t="n"/>
      <c r="B198" s="14" t="n"/>
      <c r="C198" s="14" t="n"/>
      <c r="D198" s="14" t="n"/>
      <c r="E198" s="14" t="n"/>
      <c r="F198" s="21" t="n"/>
      <c r="G198" s="21" t="n"/>
      <c r="H198" s="14" t="n"/>
      <c r="I198" s="14" t="n"/>
    </row>
    <row r="199">
      <c r="A199" s="14" t="n"/>
      <c r="B199" s="14" t="n"/>
      <c r="C199" s="14" t="n"/>
      <c r="D199" s="14" t="n"/>
      <c r="E199" s="14" t="n"/>
      <c r="F199" s="21" t="n"/>
      <c r="G199" s="21" t="n"/>
      <c r="H199" s="14" t="n"/>
      <c r="I199" s="14" t="n"/>
    </row>
    <row r="200">
      <c r="A200" s="14" t="n"/>
      <c r="B200" s="14" t="n"/>
      <c r="C200" s="14" t="n"/>
      <c r="D200" s="14" t="n"/>
      <c r="E200" s="14" t="n"/>
      <c r="F200" s="21" t="n"/>
      <c r="G200" s="21" t="n"/>
      <c r="H200" s="14" t="n"/>
      <c r="I200" s="14" t="n"/>
    </row>
    <row r="201">
      <c r="A201" s="14" t="n"/>
      <c r="B201" s="14" t="n"/>
      <c r="C201" s="14" t="n"/>
      <c r="D201" s="14" t="n"/>
      <c r="E201" s="14" t="n"/>
      <c r="F201" s="21" t="n"/>
      <c r="G201" s="21" t="n"/>
      <c r="H201" s="14" t="n"/>
      <c r="I201" s="14" t="n"/>
    </row>
    <row r="202">
      <c r="A202" s="14" t="n"/>
      <c r="B202" s="14" t="n"/>
      <c r="C202" s="14" t="n"/>
      <c r="D202" s="14" t="n"/>
      <c r="E202" s="14" t="n"/>
      <c r="F202" s="21" t="n"/>
      <c r="G202" s="21" t="n"/>
      <c r="H202" s="14" t="n"/>
      <c r="I202" s="14" t="n"/>
    </row>
    <row r="203">
      <c r="A203" s="14" t="n"/>
      <c r="B203" s="14" t="n"/>
      <c r="C203" s="14" t="n"/>
      <c r="D203" s="14" t="n"/>
      <c r="E203" s="14" t="n"/>
      <c r="F203" s="21" t="n"/>
      <c r="G203" s="21" t="n"/>
      <c r="H203" s="14" t="n"/>
      <c r="I203" s="14" t="n"/>
    </row>
    <row r="204">
      <c r="A204" s="14" t="n"/>
      <c r="B204" s="14" t="n"/>
      <c r="C204" s="14" t="n"/>
      <c r="D204" s="14" t="n"/>
      <c r="E204" s="14" t="n"/>
      <c r="F204" s="21" t="n"/>
      <c r="G204" s="21" t="n"/>
      <c r="H204" s="14" t="n"/>
      <c r="I204" s="14" t="n"/>
    </row>
    <row r="205">
      <c r="A205" s="14" t="n"/>
      <c r="B205" s="14" t="n"/>
      <c r="C205" s="14" t="n"/>
      <c r="D205" s="14" t="n"/>
      <c r="E205" s="14" t="n"/>
      <c r="F205" s="21" t="n"/>
      <c r="G205" s="21" t="n"/>
      <c r="H205" s="14" t="n"/>
      <c r="I205" s="14" t="n"/>
    </row>
    <row r="206">
      <c r="A206" s="14" t="n"/>
      <c r="B206" s="14" t="n"/>
      <c r="C206" s="14" t="n"/>
      <c r="D206" s="14" t="n"/>
      <c r="E206" s="14" t="n"/>
      <c r="F206" s="21" t="n"/>
      <c r="G206" s="21" t="n"/>
      <c r="H206" s="14" t="n"/>
      <c r="I206" s="14" t="n"/>
    </row>
    <row r="207">
      <c r="A207" s="14" t="n"/>
      <c r="B207" s="14" t="n"/>
      <c r="C207" s="14" t="n"/>
      <c r="D207" s="14" t="n"/>
      <c r="E207" s="14" t="n"/>
      <c r="F207" s="21" t="n"/>
      <c r="G207" s="21" t="n"/>
      <c r="H207" s="14" t="n"/>
      <c r="I207" s="14" t="n"/>
    </row>
    <row r="208">
      <c r="A208" s="14" t="n"/>
      <c r="B208" s="14" t="n"/>
      <c r="C208" s="14" t="n"/>
      <c r="D208" s="14" t="n"/>
      <c r="E208" s="14" t="n"/>
      <c r="F208" s="21" t="n"/>
      <c r="G208" s="21" t="n"/>
      <c r="H208" s="14" t="n"/>
      <c r="I208" s="14" t="n"/>
    </row>
    <row r="209">
      <c r="A209" s="14" t="n"/>
      <c r="B209" s="14" t="n"/>
      <c r="C209" s="14" t="n"/>
      <c r="D209" s="14" t="n"/>
      <c r="E209" s="14" t="n"/>
      <c r="F209" s="21" t="n"/>
      <c r="G209" s="21" t="n"/>
      <c r="H209" s="14" t="n"/>
      <c r="I209" s="14" t="n"/>
    </row>
    <row r="210">
      <c r="A210" s="14" t="n"/>
      <c r="B210" s="14" t="n"/>
      <c r="C210" s="14" t="n"/>
      <c r="D210" s="14" t="n"/>
      <c r="E210" s="14" t="n"/>
      <c r="F210" s="21" t="n"/>
      <c r="G210" s="21" t="n"/>
      <c r="H210" s="14" t="n"/>
      <c r="I210" s="14" t="n"/>
    </row>
    <row r="211">
      <c r="A211" s="14" t="n"/>
      <c r="B211" s="14" t="n"/>
      <c r="C211" s="14" t="n"/>
      <c r="D211" s="14" t="n"/>
      <c r="E211" s="14" t="n"/>
      <c r="F211" s="21" t="n"/>
      <c r="G211" s="21" t="n"/>
      <c r="H211" s="14" t="n"/>
      <c r="I211" s="14" t="n"/>
    </row>
    <row r="212">
      <c r="A212" s="14" t="n"/>
      <c r="B212" s="14" t="n"/>
      <c r="C212" s="14" t="n"/>
      <c r="D212" s="14" t="n"/>
      <c r="E212" s="14" t="n"/>
      <c r="F212" s="21" t="n"/>
      <c r="G212" s="21" t="n"/>
      <c r="H212" s="14" t="n"/>
      <c r="I212" s="14" t="n"/>
    </row>
    <row r="213">
      <c r="A213" s="14" t="n"/>
      <c r="B213" s="14" t="n"/>
      <c r="C213" s="14" t="n"/>
      <c r="D213" s="14" t="n"/>
      <c r="E213" s="14" t="n"/>
      <c r="F213" s="21" t="n"/>
      <c r="G213" s="21" t="n"/>
      <c r="H213" s="14" t="n"/>
      <c r="I213" s="14" t="n"/>
    </row>
    <row r="214">
      <c r="A214" s="14" t="n"/>
      <c r="B214" s="14" t="n"/>
      <c r="C214" s="14" t="n"/>
      <c r="D214" s="14" t="n"/>
      <c r="E214" s="14" t="n"/>
      <c r="F214" s="21" t="n"/>
      <c r="G214" s="21" t="n"/>
      <c r="H214" s="14" t="n"/>
      <c r="I214" s="14" t="n"/>
    </row>
    <row r="215">
      <c r="A215" s="14" t="n"/>
      <c r="B215" s="14" t="n"/>
      <c r="C215" s="14" t="n"/>
      <c r="D215" s="14" t="n"/>
      <c r="E215" s="14" t="n"/>
      <c r="F215" s="21" t="n"/>
      <c r="G215" s="21" t="n"/>
      <c r="H215" s="14" t="n"/>
      <c r="I215" s="14" t="n"/>
    </row>
    <row r="216">
      <c r="A216" s="14" t="n"/>
      <c r="B216" s="14" t="n"/>
      <c r="C216" s="14" t="n"/>
      <c r="D216" s="14" t="n"/>
      <c r="E216" s="14" t="n"/>
      <c r="F216" s="21" t="n"/>
      <c r="G216" s="21" t="n"/>
      <c r="H216" s="14" t="n"/>
      <c r="I216" s="14" t="n"/>
    </row>
    <row r="217">
      <c r="A217" s="14" t="n"/>
      <c r="B217" s="14" t="n"/>
      <c r="C217" s="14" t="n"/>
      <c r="D217" s="14" t="n"/>
      <c r="E217" s="14" t="n"/>
      <c r="F217" s="21" t="n"/>
      <c r="G217" s="21" t="n"/>
      <c r="H217" s="14" t="n"/>
      <c r="I217" s="14" t="n"/>
    </row>
    <row r="218">
      <c r="A218" s="14" t="n"/>
      <c r="B218" s="14" t="n"/>
      <c r="C218" s="14" t="n"/>
      <c r="D218" s="14" t="n"/>
      <c r="E218" s="14" t="n"/>
      <c r="F218" s="21" t="n"/>
      <c r="G218" s="21" t="n"/>
      <c r="H218" s="14" t="n"/>
      <c r="I218" s="14" t="n"/>
    </row>
    <row r="219">
      <c r="A219" s="14" t="n"/>
      <c r="B219" s="14" t="n"/>
      <c r="C219" s="14" t="n"/>
      <c r="D219" s="14" t="n"/>
      <c r="E219" s="14" t="n"/>
      <c r="F219" s="21" t="n"/>
      <c r="G219" s="21" t="n"/>
      <c r="H219" s="14" t="n"/>
      <c r="I219" s="14" t="n"/>
    </row>
    <row r="220">
      <c r="A220" s="14" t="n"/>
      <c r="B220" s="14" t="n"/>
      <c r="C220" s="14" t="n"/>
      <c r="D220" s="14" t="n"/>
      <c r="E220" s="14" t="n"/>
      <c r="F220" s="21" t="n"/>
      <c r="G220" s="21" t="n"/>
      <c r="H220" s="14" t="n"/>
      <c r="I220" s="14" t="n"/>
    </row>
    <row r="221">
      <c r="A221" s="14" t="n"/>
      <c r="B221" s="14" t="n"/>
      <c r="C221" s="14" t="n"/>
      <c r="D221" s="14" t="n"/>
      <c r="E221" s="14" t="n"/>
      <c r="F221" s="21" t="n"/>
      <c r="G221" s="21" t="n"/>
      <c r="H221" s="14" t="n"/>
      <c r="I221" s="14" t="n"/>
    </row>
    <row r="222">
      <c r="A222" s="14" t="n"/>
      <c r="B222" s="14" t="n"/>
      <c r="C222" s="14" t="n"/>
      <c r="D222" s="14" t="n"/>
      <c r="E222" s="14" t="n"/>
      <c r="F222" s="21" t="n"/>
      <c r="G222" s="21" t="n"/>
      <c r="H222" s="14" t="n"/>
      <c r="I222" s="14" t="n"/>
    </row>
    <row r="223">
      <c r="A223" s="14" t="n"/>
      <c r="B223" s="14" t="n"/>
      <c r="C223" s="14" t="n"/>
      <c r="D223" s="14" t="n"/>
      <c r="E223" s="14" t="n"/>
      <c r="F223" s="21" t="n"/>
      <c r="G223" s="21" t="n"/>
      <c r="H223" s="14" t="n"/>
      <c r="I223" s="14" t="n"/>
    </row>
    <row r="224">
      <c r="A224" s="14" t="n"/>
      <c r="B224" s="14" t="n"/>
      <c r="C224" s="14" t="n"/>
      <c r="D224" s="14" t="n"/>
      <c r="E224" s="14" t="n"/>
      <c r="F224" s="21" t="n"/>
      <c r="G224" s="21" t="n"/>
      <c r="H224" s="14" t="n"/>
      <c r="I224" s="14" t="n"/>
    </row>
    <row r="225">
      <c r="A225" s="14" t="n"/>
      <c r="B225" s="14" t="n"/>
      <c r="C225" s="14" t="n"/>
      <c r="D225" s="14" t="n"/>
      <c r="E225" s="14" t="n"/>
      <c r="F225" s="21" t="n"/>
      <c r="G225" s="21" t="n"/>
      <c r="H225" s="14" t="n"/>
      <c r="I225" s="14" t="n"/>
    </row>
    <row r="226">
      <c r="A226" s="14" t="n"/>
      <c r="B226" s="14" t="n"/>
      <c r="C226" s="14" t="n"/>
      <c r="D226" s="14" t="n"/>
      <c r="E226" s="14" t="n"/>
      <c r="F226" s="21" t="n"/>
      <c r="G226" s="21" t="n"/>
      <c r="H226" s="14" t="n"/>
      <c r="I226" s="14" t="n"/>
    </row>
    <row r="227">
      <c r="A227" s="14" t="n"/>
      <c r="B227" s="14" t="n"/>
      <c r="C227" s="14" t="n"/>
      <c r="D227" s="14" t="n"/>
      <c r="E227" s="14" t="n"/>
      <c r="F227" s="21" t="n"/>
      <c r="G227" s="21" t="n"/>
      <c r="H227" s="14" t="n"/>
      <c r="I227" s="14" t="n"/>
    </row>
    <row r="228">
      <c r="A228" s="14" t="n"/>
      <c r="B228" s="14" t="n"/>
      <c r="C228" s="14" t="n"/>
      <c r="D228" s="14" t="n"/>
      <c r="E228" s="14" t="n"/>
      <c r="F228" s="21" t="n"/>
      <c r="G228" s="21" t="n"/>
      <c r="H228" s="14" t="n"/>
      <c r="I228" s="14" t="n"/>
    </row>
    <row r="229">
      <c r="A229" s="14" t="n"/>
      <c r="B229" s="14" t="n"/>
      <c r="C229" s="14" t="n"/>
      <c r="D229" s="14" t="n"/>
      <c r="E229" s="14" t="n"/>
      <c r="F229" s="21" t="n"/>
      <c r="G229" s="21" t="n"/>
      <c r="H229" s="14" t="n"/>
      <c r="I229" s="14" t="n"/>
    </row>
    <row r="230">
      <c r="A230" s="14" t="n"/>
      <c r="B230" s="14" t="n"/>
      <c r="C230" s="14" t="n"/>
      <c r="D230" s="14" t="n"/>
      <c r="E230" s="14" t="n"/>
      <c r="F230" s="21" t="n"/>
      <c r="G230" s="21" t="n"/>
      <c r="H230" s="14" t="n"/>
      <c r="I230" s="14" t="n"/>
    </row>
    <row r="231">
      <c r="A231" s="14" t="n"/>
      <c r="B231" s="14" t="n"/>
      <c r="C231" s="14" t="n"/>
      <c r="D231" s="14" t="n"/>
      <c r="E231" s="14" t="n"/>
      <c r="F231" s="21" t="n"/>
      <c r="G231" s="21" t="n"/>
      <c r="H231" s="14" t="n"/>
      <c r="I231" s="14" t="n"/>
    </row>
    <row r="232">
      <c r="A232" s="14" t="n"/>
      <c r="B232" s="14" t="n"/>
      <c r="C232" s="14" t="n"/>
      <c r="D232" s="14" t="n"/>
      <c r="E232" s="14" t="n"/>
      <c r="F232" s="21" t="n"/>
      <c r="G232" s="21" t="n"/>
      <c r="H232" s="14" t="n"/>
      <c r="I232" s="14" t="n"/>
    </row>
    <row r="233">
      <c r="A233" s="14" t="n"/>
      <c r="B233" s="14" t="n"/>
      <c r="C233" s="14" t="n"/>
      <c r="D233" s="14" t="n"/>
      <c r="E233" s="14" t="n"/>
      <c r="F233" s="21" t="n"/>
      <c r="G233" s="21" t="n"/>
      <c r="H233" s="14" t="n"/>
      <c r="I233" s="14" t="n"/>
    </row>
    <row r="234">
      <c r="A234" s="14" t="n"/>
      <c r="B234" s="14" t="n"/>
      <c r="C234" s="14" t="n"/>
      <c r="D234" s="14" t="n"/>
      <c r="E234" s="14" t="n"/>
      <c r="F234" s="21" t="n"/>
      <c r="G234" s="21" t="n"/>
      <c r="H234" s="14" t="n"/>
      <c r="I234" s="14" t="n"/>
    </row>
    <row r="235">
      <c r="A235" s="14" t="n"/>
      <c r="B235" s="14" t="n"/>
      <c r="C235" s="14" t="n"/>
      <c r="D235" s="14" t="n"/>
      <c r="E235" s="14" t="n"/>
      <c r="F235" s="21" t="n"/>
      <c r="G235" s="21" t="n"/>
      <c r="H235" s="14" t="n"/>
      <c r="I235" s="14" t="n"/>
    </row>
    <row r="236">
      <c r="A236" s="14" t="n"/>
      <c r="B236" s="14" t="n"/>
      <c r="C236" s="14" t="n"/>
      <c r="D236" s="14" t="n"/>
      <c r="E236" s="14" t="n"/>
      <c r="F236" s="21" t="n"/>
      <c r="G236" s="21" t="n"/>
      <c r="H236" s="14" t="n"/>
      <c r="I236" s="14" t="n"/>
    </row>
    <row r="237">
      <c r="A237" s="14" t="n"/>
      <c r="B237" s="14" t="n"/>
      <c r="C237" s="14" t="n"/>
      <c r="D237" s="14" t="n"/>
      <c r="E237" s="14" t="n"/>
      <c r="F237" s="21" t="n"/>
      <c r="G237" s="21" t="n"/>
      <c r="H237" s="14" t="n"/>
      <c r="I237" s="14" t="n"/>
    </row>
    <row r="238">
      <c r="A238" s="14" t="n"/>
      <c r="B238" s="14" t="n"/>
      <c r="C238" s="14" t="n"/>
      <c r="D238" s="14" t="n"/>
      <c r="E238" s="14" t="n"/>
      <c r="F238" s="21" t="n"/>
      <c r="G238" s="21" t="n"/>
      <c r="H238" s="14" t="n"/>
      <c r="I238" s="14" t="n"/>
    </row>
    <row r="239">
      <c r="A239" s="14" t="n"/>
      <c r="B239" s="14" t="n"/>
      <c r="C239" s="14" t="n"/>
      <c r="D239" s="14" t="n"/>
      <c r="E239" s="14" t="n"/>
      <c r="F239" s="21" t="n"/>
      <c r="G239" s="21" t="n"/>
      <c r="H239" s="14" t="n"/>
      <c r="I239" s="14" t="n"/>
    </row>
    <row r="240">
      <c r="A240" s="14" t="n"/>
      <c r="B240" s="14" t="n"/>
      <c r="C240" s="14" t="n"/>
      <c r="D240" s="14" t="n"/>
      <c r="E240" s="14" t="n"/>
      <c r="F240" s="21" t="n"/>
      <c r="G240" s="21" t="n"/>
      <c r="H240" s="14" t="n"/>
      <c r="I240" s="14" t="n"/>
    </row>
    <row r="241">
      <c r="A241" s="14" t="n"/>
      <c r="B241" s="14" t="n"/>
      <c r="C241" s="14" t="n"/>
      <c r="D241" s="14" t="n"/>
      <c r="E241" s="14" t="n"/>
      <c r="F241" s="21" t="n"/>
      <c r="G241" s="21" t="n"/>
      <c r="H241" s="14" t="n"/>
      <c r="I241" s="14" t="n"/>
    </row>
    <row r="242">
      <c r="A242" s="14" t="n"/>
      <c r="B242" s="14" t="n"/>
      <c r="C242" s="14" t="n"/>
      <c r="D242" s="14" t="n"/>
      <c r="E242" s="14" t="n"/>
      <c r="F242" s="21" t="n"/>
      <c r="G242" s="21" t="n"/>
      <c r="H242" s="14" t="n"/>
      <c r="I242" s="14" t="n"/>
    </row>
    <row r="243">
      <c r="A243" s="14" t="n"/>
      <c r="B243" s="14" t="n"/>
      <c r="C243" s="14" t="n"/>
      <c r="D243" s="14" t="n"/>
      <c r="E243" s="14" t="n"/>
      <c r="F243" s="21" t="n"/>
      <c r="G243" s="21" t="n"/>
      <c r="H243" s="14" t="n"/>
      <c r="I243" s="14" t="n"/>
    </row>
    <row r="244">
      <c r="A244" s="14" t="n"/>
      <c r="B244" s="14" t="n"/>
      <c r="C244" s="14" t="n"/>
      <c r="D244" s="14" t="n"/>
      <c r="E244" s="14" t="n"/>
      <c r="F244" s="21" t="n"/>
      <c r="G244" s="21" t="n"/>
      <c r="H244" s="14" t="n"/>
      <c r="I244" s="14" t="n"/>
    </row>
    <row r="245">
      <c r="A245" s="14" t="n"/>
      <c r="B245" s="14" t="n"/>
      <c r="C245" s="14" t="n"/>
      <c r="D245" s="14" t="n"/>
      <c r="E245" s="14" t="n"/>
      <c r="F245" s="21" t="n"/>
      <c r="G245" s="21" t="n"/>
      <c r="H245" s="14" t="n"/>
      <c r="I245" s="14" t="n"/>
    </row>
    <row r="246">
      <c r="A246" s="14" t="n"/>
      <c r="B246" s="14" t="n"/>
      <c r="C246" s="14" t="n"/>
      <c r="D246" s="14" t="n"/>
      <c r="E246" s="14" t="n"/>
      <c r="F246" s="21" t="n"/>
      <c r="G246" s="21" t="n"/>
      <c r="H246" s="14" t="n"/>
      <c r="I246" s="14" t="n"/>
    </row>
    <row r="247">
      <c r="A247" s="14" t="n"/>
      <c r="B247" s="14" t="n"/>
      <c r="C247" s="14" t="n"/>
      <c r="D247" s="14" t="n"/>
      <c r="E247" s="14" t="n"/>
      <c r="F247" s="21" t="n"/>
      <c r="G247" s="21" t="n"/>
      <c r="H247" s="14" t="n"/>
      <c r="I247" s="14" t="n"/>
    </row>
    <row r="248">
      <c r="A248" s="14" t="n"/>
      <c r="B248" s="14" t="n"/>
      <c r="C248" s="14" t="n"/>
      <c r="D248" s="14" t="n"/>
      <c r="E248" s="14" t="n"/>
      <c r="F248" s="21" t="n"/>
      <c r="G248" s="21" t="n"/>
      <c r="H248" s="14" t="n"/>
      <c r="I248" s="14" t="n"/>
    </row>
    <row r="249">
      <c r="A249" s="14" t="n"/>
      <c r="B249" s="14" t="n"/>
      <c r="C249" s="14" t="n"/>
      <c r="D249" s="14" t="n"/>
      <c r="E249" s="14" t="n"/>
      <c r="F249" s="21" t="n"/>
      <c r="G249" s="21" t="n"/>
      <c r="H249" s="14" t="n"/>
      <c r="I249" s="14" t="n"/>
    </row>
    <row r="250">
      <c r="A250" s="14" t="n"/>
      <c r="B250" s="14" t="n"/>
      <c r="C250" s="14" t="n"/>
      <c r="D250" s="14" t="n"/>
      <c r="E250" s="14" t="n"/>
      <c r="F250" s="21" t="n"/>
      <c r="G250" s="21" t="n"/>
      <c r="H250" s="14" t="n"/>
      <c r="I250" s="14" t="n"/>
    </row>
    <row r="251">
      <c r="A251" s="14" t="n"/>
      <c r="B251" s="14" t="n"/>
      <c r="C251" s="14" t="n"/>
      <c r="D251" s="14" t="n"/>
      <c r="E251" s="14" t="n"/>
      <c r="F251" s="21" t="n"/>
      <c r="G251" s="21" t="n"/>
      <c r="H251" s="14" t="n"/>
      <c r="I251" s="14" t="n"/>
    </row>
    <row r="252">
      <c r="A252" s="14" t="n"/>
      <c r="B252" s="14" t="n"/>
      <c r="C252" s="14" t="n"/>
      <c r="D252" s="14" t="n"/>
      <c r="E252" s="14" t="n"/>
      <c r="F252" s="21" t="n"/>
      <c r="G252" s="21" t="n"/>
      <c r="H252" s="14" t="n"/>
      <c r="I252" s="14" t="n"/>
    </row>
    <row r="253">
      <c r="A253" s="14" t="n"/>
      <c r="B253" s="14" t="n"/>
      <c r="C253" s="14" t="n"/>
      <c r="D253" s="14" t="n"/>
      <c r="E253" s="14" t="n"/>
      <c r="F253" s="21" t="n"/>
      <c r="G253" s="21" t="n"/>
      <c r="H253" s="14" t="n"/>
      <c r="I253" s="14" t="n"/>
    </row>
    <row r="254">
      <c r="A254" s="14" t="n"/>
      <c r="B254" s="14" t="n"/>
      <c r="C254" s="14" t="n"/>
      <c r="D254" s="14" t="n"/>
      <c r="E254" s="14" t="n"/>
      <c r="F254" s="21" t="n"/>
      <c r="G254" s="21" t="n"/>
      <c r="H254" s="14" t="n"/>
      <c r="I254" s="14" t="n"/>
    </row>
    <row r="255">
      <c r="A255" s="14" t="n"/>
      <c r="B255" s="14" t="n"/>
      <c r="C255" s="14" t="n"/>
      <c r="D255" s="14" t="n"/>
      <c r="E255" s="14" t="n"/>
      <c r="F255" s="21" t="n"/>
      <c r="G255" s="21" t="n"/>
      <c r="H255" s="14" t="n"/>
      <c r="I255" s="14" t="n"/>
    </row>
    <row r="256">
      <c r="A256" s="14" t="n"/>
      <c r="B256" s="14" t="n"/>
      <c r="C256" s="14" t="n"/>
      <c r="D256" s="14" t="n"/>
      <c r="E256" s="14" t="n"/>
      <c r="F256" s="21" t="n"/>
      <c r="G256" s="21" t="n"/>
      <c r="H256" s="14" t="n"/>
      <c r="I256" s="14" t="n"/>
    </row>
    <row r="257">
      <c r="A257" s="14" t="n"/>
      <c r="B257" s="14" t="n"/>
      <c r="C257" s="14" t="n"/>
      <c r="D257" s="14" t="n"/>
      <c r="E257" s="14" t="n"/>
      <c r="F257" s="21" t="n"/>
      <c r="G257" s="21" t="n"/>
      <c r="H257" s="14" t="n"/>
      <c r="I257" s="14" t="n"/>
    </row>
    <row r="258">
      <c r="A258" s="14" t="n"/>
      <c r="B258" s="14" t="n"/>
      <c r="C258" s="14" t="n"/>
      <c r="D258" s="14" t="n"/>
      <c r="E258" s="14" t="n"/>
      <c r="F258" s="21" t="n"/>
      <c r="G258" s="21" t="n"/>
      <c r="H258" s="14" t="n"/>
      <c r="I258" s="14" t="n"/>
    </row>
    <row r="259">
      <c r="A259" s="14" t="n"/>
      <c r="B259" s="14" t="n"/>
      <c r="C259" s="14" t="n"/>
      <c r="D259" s="14" t="n"/>
      <c r="E259" s="14" t="n"/>
      <c r="F259" s="21" t="n"/>
      <c r="G259" s="21" t="n"/>
      <c r="H259" s="14" t="n"/>
      <c r="I259" s="14" t="n"/>
    </row>
    <row r="260">
      <c r="A260" s="14" t="n"/>
      <c r="B260" s="14" t="n"/>
      <c r="C260" s="14" t="n"/>
      <c r="D260" s="14" t="n"/>
      <c r="E260" s="14" t="n"/>
      <c r="F260" s="21" t="n"/>
      <c r="G260" s="21" t="n"/>
      <c r="H260" s="14" t="n"/>
      <c r="I260" s="14" t="n"/>
    </row>
    <row r="261">
      <c r="A261" s="14" t="n"/>
      <c r="B261" s="14" t="n"/>
      <c r="C261" s="14" t="n"/>
      <c r="D261" s="14" t="n"/>
      <c r="E261" s="14" t="n"/>
      <c r="F261" s="21" t="n"/>
      <c r="G261" s="21" t="n"/>
      <c r="H261" s="14" t="n"/>
      <c r="I261" s="14" t="n"/>
    </row>
    <row r="262">
      <c r="A262" s="14" t="n"/>
      <c r="B262" s="14" t="n"/>
      <c r="C262" s="14" t="n"/>
      <c r="D262" s="14" t="n"/>
      <c r="E262" s="14" t="n"/>
      <c r="F262" s="21" t="n"/>
      <c r="G262" s="21" t="n"/>
      <c r="H262" s="14" t="n"/>
      <c r="I262" s="14" t="n"/>
    </row>
    <row r="263">
      <c r="A263" s="14" t="n"/>
      <c r="B263" s="14" t="n"/>
      <c r="C263" s="14" t="n"/>
      <c r="D263" s="14" t="n"/>
      <c r="E263" s="14" t="n"/>
      <c r="F263" s="21" t="n"/>
      <c r="G263" s="21" t="n"/>
      <c r="H263" s="14" t="n"/>
      <c r="I263" s="14" t="n"/>
    </row>
    <row r="264">
      <c r="A264" s="14" t="n"/>
      <c r="B264" s="14" t="n"/>
      <c r="C264" s="14" t="n"/>
      <c r="D264" s="14" t="n"/>
      <c r="E264" s="14" t="n"/>
      <c r="F264" s="21" t="n"/>
      <c r="G264" s="21" t="n"/>
      <c r="H264" s="14" t="n"/>
      <c r="I264" s="14" t="n"/>
    </row>
    <row r="265">
      <c r="A265" s="14" t="n"/>
      <c r="B265" s="14" t="n"/>
      <c r="C265" s="14" t="n"/>
      <c r="D265" s="14" t="n"/>
      <c r="E265" s="14" t="n"/>
      <c r="F265" s="21" t="n"/>
      <c r="G265" s="21" t="n"/>
      <c r="H265" s="14" t="n"/>
      <c r="I265" s="14" t="n"/>
    </row>
    <row r="266">
      <c r="A266" s="14" t="n"/>
      <c r="B266" s="14" t="n"/>
      <c r="C266" s="14" t="n"/>
      <c r="D266" s="14" t="n"/>
      <c r="E266" s="14" t="n"/>
      <c r="F266" s="21" t="n"/>
      <c r="G266" s="21" t="n"/>
      <c r="H266" s="14" t="n"/>
      <c r="I266" s="14" t="n"/>
    </row>
    <row r="267">
      <c r="A267" s="14" t="n"/>
      <c r="B267" s="14" t="n"/>
      <c r="C267" s="14" t="n"/>
      <c r="D267" s="14" t="n"/>
      <c r="E267" s="14" t="n"/>
      <c r="F267" s="21" t="n"/>
      <c r="G267" s="21" t="n"/>
      <c r="H267" s="14" t="n"/>
      <c r="I267" s="14" t="n"/>
    </row>
    <row r="268">
      <c r="A268" s="14" t="n"/>
      <c r="B268" s="14" t="n"/>
      <c r="C268" s="14" t="n"/>
      <c r="D268" s="14" t="n"/>
      <c r="E268" s="14" t="n"/>
      <c r="F268" s="21" t="n"/>
      <c r="G268" s="21" t="n"/>
      <c r="H268" s="14" t="n"/>
      <c r="I268" s="14" t="n"/>
    </row>
    <row r="269">
      <c r="A269" s="14" t="n"/>
      <c r="B269" s="14" t="n"/>
      <c r="C269" s="14" t="n"/>
      <c r="D269" s="14" t="n"/>
      <c r="E269" s="14" t="n"/>
      <c r="F269" s="21" t="n"/>
      <c r="G269" s="21" t="n"/>
      <c r="H269" s="14" t="n"/>
      <c r="I269" s="14" t="n"/>
    </row>
    <row r="270">
      <c r="A270" s="14" t="n"/>
      <c r="B270" s="14" t="n"/>
      <c r="C270" s="14" t="n"/>
      <c r="D270" s="14" t="n"/>
      <c r="E270" s="14" t="n"/>
      <c r="F270" s="21" t="n"/>
      <c r="G270" s="21" t="n"/>
      <c r="H270" s="14" t="n"/>
      <c r="I270" s="14" t="n"/>
    </row>
    <row r="271">
      <c r="A271" s="14" t="n"/>
      <c r="B271" s="14" t="n"/>
      <c r="C271" s="14" t="n"/>
      <c r="D271" s="14" t="n"/>
      <c r="E271" s="14" t="n"/>
      <c r="F271" s="21" t="n"/>
      <c r="G271" s="21" t="n"/>
      <c r="H271" s="14" t="n"/>
      <c r="I271" s="14" t="n"/>
    </row>
    <row r="272">
      <c r="A272" s="14" t="n"/>
      <c r="B272" s="14" t="n"/>
      <c r="C272" s="14" t="n"/>
      <c r="D272" s="14" t="n"/>
      <c r="E272" s="14" t="n"/>
      <c r="F272" s="21" t="n"/>
      <c r="G272" s="21" t="n"/>
      <c r="H272" s="14" t="n"/>
      <c r="I272" s="14" t="n"/>
    </row>
    <row r="273">
      <c r="A273" s="14" t="n"/>
      <c r="B273" s="14" t="n"/>
      <c r="C273" s="14" t="n"/>
      <c r="D273" s="14" t="n"/>
      <c r="E273" s="14" t="n"/>
      <c r="F273" s="21" t="n"/>
      <c r="G273" s="21" t="n"/>
      <c r="H273" s="14" t="n"/>
      <c r="I273" s="14" t="n"/>
    </row>
    <row r="274">
      <c r="A274" s="14" t="n"/>
      <c r="B274" s="14" t="n"/>
      <c r="C274" s="14" t="n"/>
      <c r="D274" s="14" t="n"/>
      <c r="E274" s="14" t="n"/>
      <c r="F274" s="21" t="n"/>
      <c r="G274" s="21" t="n"/>
      <c r="H274" s="14" t="n"/>
      <c r="I274" s="14" t="n"/>
    </row>
    <row r="275">
      <c r="A275" s="14" t="n"/>
      <c r="B275" s="14" t="n"/>
      <c r="C275" s="14" t="n"/>
      <c r="D275" s="14" t="n"/>
      <c r="E275" s="14" t="n"/>
      <c r="F275" s="21" t="n"/>
      <c r="G275" s="21" t="n"/>
      <c r="H275" s="14" t="n"/>
      <c r="I275" s="14" t="n"/>
    </row>
    <row r="276">
      <c r="A276" s="14" t="n"/>
      <c r="B276" s="14" t="n"/>
      <c r="C276" s="14" t="n"/>
      <c r="D276" s="14" t="n"/>
      <c r="E276" s="14" t="n"/>
      <c r="F276" s="21" t="n"/>
      <c r="G276" s="21" t="n"/>
      <c r="H276" s="14" t="n"/>
      <c r="I276" s="14" t="n"/>
    </row>
    <row r="277">
      <c r="A277" s="14" t="n"/>
      <c r="B277" s="14" t="n"/>
      <c r="C277" s="14" t="n"/>
      <c r="D277" s="14" t="n"/>
      <c r="E277" s="14" t="n"/>
      <c r="F277" s="21" t="n"/>
      <c r="G277" s="21" t="n"/>
      <c r="H277" s="14" t="n"/>
      <c r="I277" s="14" t="n"/>
    </row>
    <row r="278">
      <c r="A278" s="14" t="n"/>
      <c r="B278" s="14" t="n"/>
      <c r="C278" s="14" t="n"/>
      <c r="D278" s="14" t="n"/>
      <c r="E278" s="14" t="n"/>
      <c r="F278" s="21" t="n"/>
      <c r="G278" s="21" t="n"/>
      <c r="H278" s="14" t="n"/>
      <c r="I278" s="14" t="n"/>
    </row>
    <row r="279">
      <c r="A279" s="14" t="n"/>
      <c r="B279" s="14" t="n"/>
      <c r="C279" s="14" t="n"/>
      <c r="D279" s="14" t="n"/>
      <c r="E279" s="14" t="n"/>
      <c r="F279" s="21" t="n"/>
      <c r="G279" s="21" t="n"/>
      <c r="H279" s="14" t="n"/>
      <c r="I279" s="14" t="n"/>
    </row>
    <row r="280">
      <c r="A280" s="14" t="n"/>
      <c r="B280" s="14" t="n"/>
      <c r="C280" s="14" t="n"/>
      <c r="D280" s="14" t="n"/>
      <c r="E280" s="14" t="n"/>
      <c r="F280" s="21" t="n"/>
      <c r="G280" s="21" t="n"/>
      <c r="H280" s="14" t="n"/>
      <c r="I280" s="14" t="n"/>
    </row>
    <row r="281">
      <c r="A281" s="14" t="n"/>
      <c r="B281" s="14" t="n"/>
      <c r="C281" s="14" t="n"/>
      <c r="D281" s="14" t="n"/>
      <c r="E281" s="14" t="n"/>
      <c r="F281" s="21" t="n"/>
      <c r="G281" s="21" t="n"/>
      <c r="H281" s="14" t="n"/>
      <c r="I281" s="14" t="n"/>
    </row>
    <row r="282">
      <c r="A282" s="14" t="n"/>
      <c r="B282" s="14" t="n"/>
      <c r="C282" s="14" t="n"/>
      <c r="D282" s="14" t="n"/>
      <c r="E282" s="14" t="n"/>
      <c r="F282" s="21" t="n"/>
      <c r="G282" s="21" t="n"/>
      <c r="H282" s="14" t="n"/>
      <c r="I282" s="14" t="n"/>
    </row>
    <row r="283">
      <c r="A283" s="14" t="n"/>
      <c r="B283" s="14" t="n"/>
      <c r="C283" s="14" t="n"/>
      <c r="D283" s="14" t="n"/>
      <c r="E283" s="14" t="n"/>
      <c r="F283" s="21" t="n"/>
      <c r="G283" s="21" t="n"/>
      <c r="H283" s="14" t="n"/>
      <c r="I283" s="14" t="n"/>
    </row>
    <row r="284">
      <c r="A284" s="14" t="n"/>
      <c r="B284" s="14" t="n"/>
      <c r="C284" s="14" t="n"/>
      <c r="D284" s="14" t="n"/>
      <c r="E284" s="14" t="n"/>
      <c r="F284" s="21" t="n"/>
      <c r="G284" s="21" t="n"/>
      <c r="H284" s="14" t="n"/>
      <c r="I284" s="14" t="n"/>
    </row>
    <row r="285">
      <c r="A285" s="14" t="n"/>
      <c r="B285" s="14" t="n"/>
      <c r="C285" s="14" t="n"/>
      <c r="D285" s="14" t="n"/>
      <c r="E285" s="14" t="n"/>
      <c r="F285" s="21" t="n"/>
      <c r="G285" s="21" t="n"/>
      <c r="H285" s="14" t="n"/>
      <c r="I285" s="14" t="n"/>
    </row>
    <row r="286">
      <c r="A286" s="14" t="n"/>
      <c r="B286" s="14" t="n"/>
      <c r="C286" s="14" t="n"/>
      <c r="D286" s="14" t="n"/>
      <c r="E286" s="14" t="n"/>
      <c r="F286" s="21" t="n"/>
      <c r="G286" s="21" t="n"/>
      <c r="H286" s="14" t="n"/>
      <c r="I286" s="14" t="n"/>
    </row>
    <row r="287">
      <c r="A287" s="14" t="n"/>
      <c r="B287" s="14" t="n"/>
      <c r="C287" s="14" t="n"/>
      <c r="D287" s="14" t="n"/>
      <c r="E287" s="14" t="n"/>
      <c r="F287" s="21" t="n"/>
      <c r="G287" s="21" t="n"/>
      <c r="H287" s="14" t="n"/>
      <c r="I287" s="14" t="n"/>
    </row>
    <row r="288">
      <c r="A288" s="14" t="n"/>
      <c r="B288" s="14" t="n"/>
      <c r="C288" s="14" t="n"/>
      <c r="D288" s="14" t="n"/>
      <c r="E288" s="14" t="n"/>
      <c r="F288" s="21" t="n"/>
      <c r="G288" s="21" t="n"/>
      <c r="H288" s="14" t="n"/>
      <c r="I288" s="14" t="n"/>
    </row>
    <row r="289">
      <c r="A289" s="14" t="n"/>
      <c r="B289" s="14" t="n"/>
      <c r="C289" s="14" t="n"/>
      <c r="D289" s="14" t="n"/>
      <c r="E289" s="14" t="n"/>
      <c r="F289" s="21" t="n"/>
      <c r="G289" s="21" t="n"/>
      <c r="H289" s="14" t="n"/>
      <c r="I289" s="14" t="n"/>
    </row>
    <row r="290">
      <c r="A290" s="14" t="n"/>
      <c r="B290" s="14" t="n"/>
      <c r="C290" s="14" t="n"/>
      <c r="D290" s="14" t="n"/>
      <c r="E290" s="14" t="n"/>
      <c r="F290" s="21" t="n"/>
      <c r="G290" s="21" t="n"/>
      <c r="H290" s="14" t="n"/>
      <c r="I290" s="14" t="n"/>
    </row>
    <row r="291">
      <c r="A291" s="14" t="n"/>
      <c r="B291" s="14" t="n"/>
      <c r="C291" s="14" t="n"/>
      <c r="D291" s="14" t="n"/>
      <c r="E291" s="14" t="n"/>
      <c r="F291" s="21" t="n"/>
      <c r="G291" s="21" t="n"/>
      <c r="H291" s="14" t="n"/>
      <c r="I291" s="14" t="n"/>
    </row>
    <row r="292">
      <c r="A292" s="14" t="n"/>
      <c r="B292" s="14" t="n"/>
      <c r="C292" s="14" t="n"/>
      <c r="D292" s="14" t="n"/>
      <c r="E292" s="14" t="n"/>
      <c r="F292" s="21" t="n"/>
      <c r="G292" s="21" t="n"/>
      <c r="H292" s="14" t="n"/>
      <c r="I292" s="14" t="n"/>
    </row>
    <row r="293">
      <c r="A293" s="14" t="n"/>
      <c r="B293" s="14" t="n"/>
      <c r="C293" s="14" t="n"/>
      <c r="D293" s="14" t="n"/>
      <c r="E293" s="14" t="n"/>
      <c r="F293" s="21" t="n"/>
      <c r="G293" s="21" t="n"/>
      <c r="H293" s="14" t="n"/>
      <c r="I293" s="14" t="n"/>
    </row>
    <row r="294">
      <c r="A294" s="14" t="n"/>
      <c r="B294" s="14" t="n"/>
      <c r="C294" s="14" t="n"/>
      <c r="D294" s="14" t="n"/>
      <c r="E294" s="14" t="n"/>
      <c r="F294" s="21" t="n"/>
      <c r="G294" s="21" t="n"/>
      <c r="H294" s="14" t="n"/>
      <c r="I294" s="14" t="n"/>
    </row>
    <row r="295">
      <c r="A295" s="14" t="n"/>
      <c r="B295" s="14" t="n"/>
      <c r="C295" s="14" t="n"/>
      <c r="D295" s="14" t="n"/>
      <c r="E295" s="14" t="n"/>
      <c r="F295" s="21" t="n"/>
      <c r="G295" s="21" t="n"/>
      <c r="H295" s="14" t="n"/>
      <c r="I295" s="14" t="n"/>
    </row>
    <row r="296">
      <c r="A296" s="14" t="n"/>
      <c r="B296" s="14" t="n"/>
      <c r="C296" s="14" t="n"/>
      <c r="D296" s="14" t="n"/>
      <c r="E296" s="14" t="n"/>
      <c r="F296" s="21" t="n"/>
      <c r="G296" s="21" t="n"/>
      <c r="H296" s="14" t="n"/>
      <c r="I296" s="14" t="n"/>
    </row>
    <row r="297">
      <c r="A297" s="14" t="n"/>
      <c r="B297" s="14" t="n"/>
      <c r="C297" s="14" t="n"/>
      <c r="D297" s="14" t="n"/>
      <c r="E297" s="14" t="n"/>
      <c r="F297" s="21" t="n"/>
      <c r="G297" s="21" t="n"/>
      <c r="H297" s="14" t="n"/>
      <c r="I297" s="14" t="n"/>
    </row>
    <row r="298">
      <c r="A298" s="14" t="n"/>
      <c r="B298" s="14" t="n"/>
      <c r="C298" s="14" t="n"/>
      <c r="D298" s="14" t="n"/>
      <c r="E298" s="14" t="n"/>
      <c r="F298" s="21" t="n"/>
      <c r="G298" s="21" t="n"/>
      <c r="H298" s="14" t="n"/>
      <c r="I298" s="14" t="n"/>
    </row>
    <row r="299">
      <c r="A299" s="14" t="n"/>
      <c r="B299" s="14" t="n"/>
      <c r="C299" s="14" t="n"/>
      <c r="D299" s="14" t="n"/>
      <c r="E299" s="14" t="n"/>
      <c r="F299" s="21" t="n"/>
      <c r="G299" s="21" t="n"/>
      <c r="H299" s="14" t="n"/>
      <c r="I299" s="14" t="n"/>
    </row>
    <row r="300">
      <c r="A300" s="14" t="n"/>
      <c r="B300" s="14" t="n"/>
      <c r="C300" s="14" t="n"/>
      <c r="D300" s="14" t="n"/>
      <c r="E300" s="14" t="n"/>
      <c r="F300" s="21" t="n"/>
      <c r="G300" s="21" t="n"/>
      <c r="H300" s="14" t="n"/>
      <c r="I300" s="14" t="n"/>
    </row>
    <row r="301">
      <c r="A301" s="14" t="n"/>
      <c r="B301" s="14" t="n"/>
      <c r="C301" s="14" t="n"/>
      <c r="D301" s="14" t="n"/>
      <c r="E301" s="14" t="n"/>
      <c r="F301" s="21" t="n"/>
      <c r="G301" s="21" t="n"/>
      <c r="H301" s="14" t="n"/>
      <c r="I301" s="14" t="n"/>
    </row>
    <row r="302">
      <c r="A302" s="14" t="n"/>
      <c r="B302" s="14" t="n"/>
      <c r="C302" s="14" t="n"/>
      <c r="D302" s="14" t="n"/>
      <c r="E302" s="14" t="n"/>
      <c r="F302" s="21" t="n"/>
      <c r="G302" s="21" t="n"/>
      <c r="H302" s="14" t="n"/>
      <c r="I302" s="14" t="n"/>
    </row>
    <row r="303">
      <c r="A303" s="14" t="n"/>
      <c r="B303" s="14" t="n"/>
      <c r="C303" s="14" t="n"/>
      <c r="D303" s="14" t="n"/>
      <c r="E303" s="14" t="n"/>
      <c r="F303" s="21" t="n"/>
      <c r="G303" s="21" t="n"/>
      <c r="H303" s="14" t="n"/>
      <c r="I303" s="14" t="n"/>
    </row>
    <row r="304">
      <c r="A304" s="14" t="n"/>
      <c r="B304" s="14" t="n"/>
      <c r="C304" s="14" t="n"/>
      <c r="D304" s="14" t="n"/>
      <c r="E304" s="14" t="n"/>
      <c r="F304" s="21" t="n"/>
      <c r="G304" s="21" t="n"/>
      <c r="H304" s="14" t="n"/>
      <c r="I304" s="14" t="n"/>
    </row>
    <row r="305">
      <c r="A305" s="14" t="n"/>
      <c r="B305" s="14" t="n"/>
      <c r="C305" s="14" t="n"/>
      <c r="D305" s="14" t="n"/>
      <c r="E305" s="14" t="n"/>
      <c r="F305" s="21" t="n"/>
      <c r="G305" s="21" t="n"/>
      <c r="H305" s="14" t="n"/>
      <c r="I305" s="14" t="n"/>
    </row>
    <row r="306">
      <c r="A306" s="14" t="n"/>
      <c r="B306" s="14" t="n"/>
      <c r="C306" s="14" t="n"/>
      <c r="D306" s="14" t="n"/>
      <c r="E306" s="14" t="n"/>
      <c r="F306" s="21" t="n"/>
      <c r="G306" s="21" t="n"/>
      <c r="H306" s="14" t="n"/>
      <c r="I306" s="14" t="n"/>
    </row>
    <row r="307">
      <c r="A307" s="14" t="n"/>
      <c r="B307" s="14" t="n"/>
      <c r="C307" s="14" t="n"/>
      <c r="D307" s="14" t="n"/>
      <c r="E307" s="14" t="n"/>
      <c r="F307" s="21" t="n"/>
      <c r="G307" s="21" t="n"/>
      <c r="H307" s="14" t="n"/>
      <c r="I307" s="14" t="n"/>
    </row>
    <row r="308">
      <c r="A308" s="14" t="n"/>
      <c r="B308" s="14" t="n"/>
      <c r="C308" s="14" t="n"/>
      <c r="D308" s="14" t="n"/>
      <c r="E308" s="14" t="n"/>
      <c r="F308" s="21" t="n"/>
      <c r="G308" s="21" t="n"/>
      <c r="H308" s="14" t="n"/>
      <c r="I308" s="14" t="n"/>
    </row>
    <row r="309">
      <c r="A309" s="14" t="n"/>
      <c r="B309" s="14" t="n"/>
      <c r="C309" s="14" t="n"/>
      <c r="D309" s="14" t="n"/>
      <c r="E309" s="14" t="n"/>
      <c r="F309" s="21" t="n"/>
      <c r="G309" s="21" t="n"/>
      <c r="H309" s="14" t="n"/>
      <c r="I309" s="14" t="n"/>
    </row>
    <row r="310">
      <c r="A310" s="14" t="n"/>
      <c r="B310" s="14" t="n"/>
      <c r="C310" s="14" t="n"/>
      <c r="D310" s="14" t="n"/>
      <c r="E310" s="14" t="n"/>
      <c r="F310" s="21" t="n"/>
      <c r="G310" s="21" t="n"/>
      <c r="H310" s="14" t="n"/>
      <c r="I310" s="14" t="n"/>
    </row>
    <row r="311">
      <c r="A311" s="14" t="n"/>
      <c r="B311" s="14" t="n"/>
      <c r="C311" s="14" t="n"/>
      <c r="D311" s="14" t="n"/>
      <c r="E311" s="14" t="n"/>
      <c r="F311" s="21" t="n"/>
      <c r="G311" s="21" t="n"/>
      <c r="H311" s="14" t="n"/>
      <c r="I311" s="14" t="n"/>
    </row>
    <row r="312">
      <c r="A312" s="14" t="n"/>
      <c r="B312" s="14" t="n"/>
      <c r="C312" s="14" t="n"/>
      <c r="D312" s="14" t="n"/>
      <c r="E312" s="14" t="n"/>
      <c r="F312" s="21" t="n"/>
      <c r="G312" s="21" t="n"/>
      <c r="H312" s="14" t="n"/>
      <c r="I312" s="14" t="n"/>
    </row>
    <row r="313">
      <c r="A313" s="14" t="n"/>
      <c r="B313" s="14" t="n"/>
      <c r="C313" s="14" t="n"/>
      <c r="D313" s="14" t="n"/>
      <c r="E313" s="14" t="n"/>
      <c r="F313" s="21" t="n"/>
      <c r="G313" s="21" t="n"/>
      <c r="H313" s="14" t="n"/>
      <c r="I313" s="14" t="n"/>
    </row>
    <row r="314">
      <c r="A314" s="14" t="n"/>
      <c r="B314" s="14" t="n"/>
      <c r="C314" s="14" t="n"/>
      <c r="D314" s="14" t="n"/>
      <c r="E314" s="14" t="n"/>
      <c r="F314" s="21" t="n"/>
      <c r="G314" s="21" t="n"/>
      <c r="H314" s="14" t="n"/>
      <c r="I314" s="14" t="n"/>
    </row>
    <row r="315">
      <c r="A315" s="14" t="n"/>
      <c r="B315" s="14" t="n"/>
      <c r="C315" s="14" t="n"/>
      <c r="D315" s="14" t="n"/>
      <c r="E315" s="14" t="n"/>
      <c r="F315" s="21" t="n"/>
      <c r="G315" s="21" t="n"/>
      <c r="H315" s="14" t="n"/>
      <c r="I315" s="14" t="n"/>
    </row>
    <row r="316">
      <c r="A316" s="14" t="n"/>
      <c r="B316" s="14" t="n"/>
      <c r="C316" s="14" t="n"/>
      <c r="D316" s="14" t="n"/>
      <c r="E316" s="14" t="n"/>
      <c r="F316" s="21" t="n"/>
      <c r="G316" s="21" t="n"/>
      <c r="H316" s="14" t="n"/>
      <c r="I316" s="14" t="n"/>
    </row>
    <row r="317">
      <c r="A317" s="14" t="n"/>
      <c r="B317" s="14" t="n"/>
      <c r="C317" s="14" t="n"/>
      <c r="D317" s="14" t="n"/>
      <c r="E317" s="14" t="n"/>
      <c r="F317" s="21" t="n"/>
      <c r="G317" s="21" t="n"/>
      <c r="H317" s="14" t="n"/>
      <c r="I317" s="14" t="n"/>
    </row>
    <row r="318">
      <c r="A318" s="14" t="n"/>
      <c r="B318" s="14" t="n"/>
      <c r="C318" s="14" t="n"/>
      <c r="D318" s="14" t="n"/>
      <c r="E318" s="14" t="n"/>
      <c r="F318" s="21" t="n"/>
      <c r="G318" s="21" t="n"/>
      <c r="H318" s="14" t="n"/>
      <c r="I318" s="14" t="n"/>
    </row>
    <row r="319">
      <c r="A319" s="14" t="n"/>
      <c r="B319" s="14" t="n"/>
      <c r="C319" s="14" t="n"/>
      <c r="D319" s="14" t="n"/>
      <c r="E319" s="14" t="n"/>
      <c r="F319" s="21" t="n"/>
      <c r="G319" s="21" t="n"/>
      <c r="H319" s="14" t="n"/>
      <c r="I319" s="14" t="n"/>
    </row>
    <row r="320">
      <c r="A320" s="14" t="n"/>
      <c r="B320" s="14" t="n"/>
      <c r="C320" s="14" t="n"/>
      <c r="D320" s="14" t="n"/>
      <c r="E320" s="14" t="n"/>
      <c r="F320" s="21" t="n"/>
      <c r="G320" s="21" t="n"/>
      <c r="H320" s="14" t="n"/>
      <c r="I320" s="14" t="n"/>
    </row>
    <row r="321">
      <c r="A321" s="14" t="n"/>
      <c r="B321" s="14" t="n"/>
      <c r="C321" s="14" t="n"/>
      <c r="D321" s="14" t="n"/>
      <c r="E321" s="14" t="n"/>
      <c r="F321" s="21" t="n"/>
      <c r="G321" s="21" t="n"/>
      <c r="H321" s="14" t="n"/>
      <c r="I321" s="14" t="n"/>
    </row>
    <row r="322">
      <c r="A322" s="14" t="n"/>
      <c r="B322" s="14" t="n"/>
      <c r="C322" s="14" t="n"/>
      <c r="D322" s="14" t="n"/>
      <c r="E322" s="14" t="n"/>
      <c r="F322" s="21" t="n"/>
      <c r="G322" s="21" t="n"/>
      <c r="H322" s="14" t="n"/>
      <c r="I322" s="14" t="n"/>
    </row>
    <row r="323">
      <c r="A323" s="14" t="n"/>
      <c r="B323" s="14" t="n"/>
      <c r="C323" s="14" t="n"/>
      <c r="D323" s="14" t="n"/>
      <c r="E323" s="14" t="n"/>
      <c r="F323" s="21" t="n"/>
      <c r="G323" s="21" t="n"/>
      <c r="H323" s="14" t="n"/>
      <c r="I323" s="14" t="n"/>
    </row>
    <row r="324">
      <c r="A324" s="14" t="n"/>
      <c r="B324" s="14" t="n"/>
      <c r="C324" s="14" t="n"/>
      <c r="D324" s="14" t="n"/>
      <c r="E324" s="14" t="n"/>
      <c r="F324" s="21" t="n"/>
      <c r="G324" s="21" t="n"/>
      <c r="H324" s="14" t="n"/>
      <c r="I324" s="14" t="n"/>
    </row>
    <row r="325">
      <c r="A325" s="14" t="n"/>
      <c r="B325" s="14" t="n"/>
      <c r="C325" s="14" t="n"/>
      <c r="D325" s="14" t="n"/>
      <c r="E325" s="14" t="n"/>
      <c r="F325" s="21" t="n"/>
      <c r="G325" s="21" t="n"/>
      <c r="H325" s="14" t="n"/>
      <c r="I325" s="14" t="n"/>
    </row>
    <row r="326">
      <c r="A326" s="14" t="n"/>
      <c r="B326" s="14" t="n"/>
      <c r="C326" s="14" t="n"/>
      <c r="D326" s="14" t="n"/>
      <c r="E326" s="14" t="n"/>
      <c r="F326" s="21" t="n"/>
      <c r="G326" s="21" t="n"/>
      <c r="H326" s="14" t="n"/>
      <c r="I326" s="14" t="n"/>
    </row>
    <row r="327">
      <c r="A327" s="14" t="n"/>
      <c r="B327" s="14" t="n"/>
      <c r="C327" s="14" t="n"/>
      <c r="D327" s="14" t="n"/>
      <c r="E327" s="14" t="n"/>
      <c r="F327" s="21" t="n"/>
      <c r="G327" s="21" t="n"/>
      <c r="H327" s="14" t="n"/>
      <c r="I327" s="14" t="n"/>
    </row>
    <row r="328">
      <c r="A328" s="14" t="n"/>
      <c r="B328" s="14" t="n"/>
      <c r="C328" s="14" t="n"/>
      <c r="D328" s="14" t="n"/>
      <c r="E328" s="14" t="n"/>
      <c r="F328" s="21" t="n"/>
      <c r="G328" s="21" t="n"/>
      <c r="H328" s="14" t="n"/>
      <c r="I328" s="14" t="n"/>
    </row>
    <row r="329">
      <c r="A329" s="14" t="n"/>
      <c r="B329" s="14" t="n"/>
      <c r="C329" s="14" t="n"/>
      <c r="D329" s="14" t="n"/>
      <c r="E329" s="14" t="n"/>
      <c r="F329" s="21" t="n"/>
      <c r="G329" s="21" t="n"/>
      <c r="H329" s="14" t="n"/>
      <c r="I329" s="14" t="n"/>
    </row>
    <row r="330">
      <c r="A330" s="14" t="n"/>
      <c r="B330" s="14" t="n"/>
      <c r="C330" s="14" t="n"/>
      <c r="D330" s="14" t="n"/>
      <c r="E330" s="14" t="n"/>
      <c r="F330" s="21" t="n"/>
      <c r="G330" s="21" t="n"/>
      <c r="H330" s="14" t="n"/>
      <c r="I330" s="14" t="n"/>
    </row>
    <row r="331">
      <c r="A331" s="14" t="n"/>
      <c r="B331" s="14" t="n"/>
      <c r="C331" s="14" t="n"/>
      <c r="D331" s="14" t="n"/>
      <c r="E331" s="14" t="n"/>
      <c r="F331" s="21" t="n"/>
      <c r="G331" s="21" t="n"/>
      <c r="H331" s="14" t="n"/>
      <c r="I331" s="14" t="n"/>
    </row>
    <row r="332">
      <c r="A332" s="14" t="n"/>
      <c r="B332" s="14" t="n"/>
      <c r="C332" s="14" t="n"/>
      <c r="D332" s="14" t="n"/>
      <c r="E332" s="14" t="n"/>
      <c r="F332" s="21" t="n"/>
      <c r="G332" s="21" t="n"/>
      <c r="H332" s="14" t="n"/>
      <c r="I332" s="14" t="n"/>
    </row>
    <row r="333">
      <c r="A333" s="14" t="n"/>
      <c r="B333" s="14" t="n"/>
      <c r="C333" s="14" t="n"/>
      <c r="D333" s="14" t="n"/>
      <c r="E333" s="14" t="n"/>
      <c r="F333" s="21" t="n"/>
      <c r="G333" s="21" t="n"/>
      <c r="H333" s="14" t="n"/>
      <c r="I333" s="14" t="n"/>
    </row>
    <row r="334">
      <c r="A334" s="14" t="n"/>
      <c r="B334" s="14" t="n"/>
      <c r="C334" s="14" t="n"/>
      <c r="D334" s="14" t="n"/>
      <c r="E334" s="14" t="n"/>
      <c r="F334" s="21" t="n"/>
      <c r="G334" s="21" t="n"/>
      <c r="H334" s="14" t="n"/>
      <c r="I334" s="14" t="n"/>
    </row>
    <row r="335">
      <c r="A335" s="14" t="n"/>
      <c r="B335" s="14" t="n"/>
      <c r="C335" s="14" t="n"/>
      <c r="D335" s="14" t="n"/>
      <c r="E335" s="14" t="n"/>
      <c r="F335" s="21" t="n"/>
      <c r="G335" s="21" t="n"/>
      <c r="H335" s="14" t="n"/>
      <c r="I335" s="14" t="n"/>
    </row>
    <row r="336">
      <c r="A336" s="14" t="n"/>
      <c r="B336" s="14" t="n"/>
      <c r="C336" s="14" t="n"/>
      <c r="D336" s="14" t="n"/>
      <c r="E336" s="14" t="n"/>
      <c r="F336" s="21" t="n"/>
      <c r="G336" s="21" t="n"/>
      <c r="H336" s="14" t="n"/>
      <c r="I336" s="14" t="n"/>
    </row>
    <row r="337">
      <c r="A337" s="14" t="n"/>
      <c r="B337" s="14" t="n"/>
      <c r="C337" s="14" t="n"/>
      <c r="D337" s="14" t="n"/>
      <c r="E337" s="14" t="n"/>
      <c r="F337" s="21" t="n"/>
      <c r="G337" s="21" t="n"/>
      <c r="H337" s="14" t="n"/>
      <c r="I337" s="14" t="n"/>
    </row>
    <row r="338">
      <c r="A338" s="14" t="n"/>
      <c r="B338" s="14" t="n"/>
      <c r="C338" s="14" t="n"/>
      <c r="D338" s="14" t="n"/>
      <c r="E338" s="14" t="n"/>
      <c r="F338" s="21" t="n"/>
      <c r="G338" s="21" t="n"/>
      <c r="H338" s="14" t="n"/>
      <c r="I338" s="14" t="n"/>
    </row>
    <row r="339">
      <c r="A339" s="14" t="n"/>
      <c r="B339" s="14" t="n"/>
      <c r="C339" s="14" t="n"/>
      <c r="D339" s="14" t="n"/>
      <c r="E339" s="14" t="n"/>
      <c r="F339" s="21" t="n"/>
      <c r="G339" s="21" t="n"/>
      <c r="H339" s="14" t="n"/>
      <c r="I339" s="14" t="n"/>
    </row>
    <row r="340">
      <c r="A340" s="14" t="n"/>
      <c r="B340" s="14" t="n"/>
      <c r="C340" s="14" t="n"/>
      <c r="D340" s="14" t="n"/>
      <c r="E340" s="14" t="n"/>
      <c r="F340" s="21" t="n"/>
      <c r="G340" s="21" t="n"/>
      <c r="H340" s="14" t="n"/>
      <c r="I340" s="14" t="n"/>
    </row>
    <row r="341">
      <c r="A341" s="14" t="n"/>
      <c r="B341" s="14" t="n"/>
      <c r="C341" s="14" t="n"/>
      <c r="D341" s="14" t="n"/>
      <c r="E341" s="14" t="n"/>
      <c r="F341" s="21" t="n"/>
      <c r="G341" s="21" t="n"/>
      <c r="H341" s="14" t="n"/>
      <c r="I341" s="14" t="n"/>
    </row>
    <row r="342">
      <c r="A342" s="14" t="n"/>
      <c r="B342" s="14" t="n"/>
      <c r="C342" s="14" t="n"/>
      <c r="D342" s="14" t="n"/>
      <c r="E342" s="14" t="n"/>
      <c r="F342" s="21" t="n"/>
      <c r="G342" s="21" t="n"/>
      <c r="H342" s="14" t="n"/>
      <c r="I342" s="14" t="n"/>
    </row>
    <row r="343">
      <c r="A343" s="14" t="n"/>
      <c r="B343" s="14" t="n"/>
      <c r="C343" s="14" t="n"/>
      <c r="D343" s="14" t="n"/>
      <c r="E343" s="14" t="n"/>
      <c r="F343" s="21" t="n"/>
      <c r="G343" s="21" t="n"/>
      <c r="H343" s="14" t="n"/>
      <c r="I343" s="14" t="n"/>
    </row>
    <row r="344">
      <c r="A344" s="14" t="n"/>
      <c r="B344" s="14" t="n"/>
      <c r="C344" s="14" t="n"/>
      <c r="D344" s="14" t="n"/>
      <c r="E344" s="14" t="n"/>
      <c r="F344" s="21" t="n"/>
      <c r="G344" s="21" t="n"/>
      <c r="H344" s="14" t="n"/>
      <c r="I344" s="14" t="n"/>
    </row>
    <row r="345">
      <c r="A345" s="14" t="n"/>
      <c r="B345" s="14" t="n"/>
      <c r="C345" s="14" t="n"/>
      <c r="D345" s="14" t="n"/>
      <c r="E345" s="14" t="n"/>
      <c r="F345" s="21" t="n"/>
      <c r="G345" s="21" t="n"/>
      <c r="H345" s="14" t="n"/>
      <c r="I345" s="14" t="n"/>
    </row>
    <row r="346">
      <c r="A346" s="14" t="n"/>
      <c r="B346" s="14" t="n"/>
      <c r="C346" s="14" t="n"/>
      <c r="D346" s="14" t="n"/>
      <c r="E346" s="14" t="n"/>
      <c r="F346" s="21" t="n"/>
      <c r="G346" s="21" t="n"/>
      <c r="H346" s="14" t="n"/>
      <c r="I346" s="14" t="n"/>
    </row>
    <row r="347">
      <c r="A347" s="14" t="n"/>
      <c r="B347" s="14" t="n"/>
      <c r="C347" s="14" t="n"/>
      <c r="D347" s="14" t="n"/>
      <c r="E347" s="14" t="n"/>
      <c r="F347" s="21" t="n"/>
      <c r="G347" s="21" t="n"/>
      <c r="H347" s="14" t="n"/>
      <c r="I347" s="14" t="n"/>
    </row>
    <row r="348">
      <c r="A348" s="14" t="n"/>
      <c r="B348" s="14" t="n"/>
      <c r="C348" s="14" t="n"/>
      <c r="D348" s="14" t="n"/>
      <c r="E348" s="14" t="n"/>
      <c r="F348" s="21" t="n"/>
      <c r="G348" s="21" t="n"/>
      <c r="H348" s="14" t="n"/>
      <c r="I348" s="14" t="n"/>
    </row>
    <row r="349">
      <c r="A349" s="14" t="n"/>
      <c r="B349" s="14" t="n"/>
      <c r="C349" s="14" t="n"/>
      <c r="D349" s="14" t="n"/>
      <c r="E349" s="14" t="n"/>
      <c r="F349" s="21" t="n"/>
      <c r="G349" s="21" t="n"/>
      <c r="H349" s="14" t="n"/>
      <c r="I349" s="14" t="n"/>
    </row>
    <row r="350">
      <c r="A350" s="14" t="n"/>
      <c r="B350" s="14" t="n"/>
      <c r="C350" s="14" t="n"/>
      <c r="D350" s="14" t="n"/>
      <c r="E350" s="14" t="n"/>
      <c r="F350" s="21" t="n"/>
      <c r="G350" s="21" t="n"/>
      <c r="H350" s="14" t="n"/>
      <c r="I350" s="14" t="n"/>
    </row>
    <row r="351">
      <c r="A351" s="14" t="n"/>
      <c r="B351" s="14" t="n"/>
      <c r="C351" s="14" t="n"/>
      <c r="D351" s="14" t="n"/>
      <c r="E351" s="14" t="n"/>
      <c r="F351" s="21" t="n"/>
      <c r="G351" s="21" t="n"/>
      <c r="H351" s="14" t="n"/>
      <c r="I351" s="14" t="n"/>
    </row>
    <row r="352">
      <c r="A352" s="14" t="n"/>
      <c r="B352" s="14" t="n"/>
      <c r="C352" s="14" t="n"/>
      <c r="D352" s="14" t="n"/>
      <c r="E352" s="14" t="n"/>
      <c r="F352" s="21" t="n"/>
      <c r="G352" s="21" t="n"/>
      <c r="H352" s="14" t="n"/>
      <c r="I352" s="14" t="n"/>
    </row>
    <row r="353">
      <c r="A353" s="14" t="n"/>
      <c r="B353" s="14" t="n"/>
      <c r="C353" s="14" t="n"/>
      <c r="D353" s="14" t="n"/>
      <c r="E353" s="14" t="n"/>
      <c r="F353" s="21" t="n"/>
      <c r="G353" s="21" t="n"/>
      <c r="H353" s="14" t="n"/>
      <c r="I353" s="14" t="n"/>
    </row>
    <row r="354">
      <c r="A354" s="14" t="n"/>
      <c r="B354" s="14" t="n"/>
      <c r="C354" s="14" t="n"/>
      <c r="D354" s="14" t="n"/>
      <c r="E354" s="14" t="n"/>
      <c r="F354" s="21" t="n"/>
      <c r="G354" s="21" t="n"/>
      <c r="H354" s="14" t="n"/>
      <c r="I354" s="14" t="n"/>
    </row>
    <row r="355">
      <c r="A355" s="14" t="n"/>
      <c r="B355" s="14" t="n"/>
      <c r="C355" s="14" t="n"/>
      <c r="D355" s="14" t="n"/>
      <c r="E355" s="14" t="n"/>
      <c r="F355" s="21" t="n"/>
      <c r="G355" s="21" t="n"/>
      <c r="H355" s="14" t="n"/>
      <c r="I355" s="14" t="n"/>
    </row>
    <row r="356">
      <c r="A356" s="14" t="n"/>
      <c r="B356" s="14" t="n"/>
      <c r="C356" s="14" t="n"/>
      <c r="D356" s="14" t="n"/>
      <c r="E356" s="14" t="n"/>
      <c r="F356" s="21" t="n"/>
      <c r="G356" s="21" t="n"/>
      <c r="H356" s="14" t="n"/>
      <c r="I356" s="14" t="n"/>
    </row>
    <row r="357">
      <c r="A357" s="14" t="n"/>
      <c r="B357" s="14" t="n"/>
      <c r="C357" s="14" t="n"/>
      <c r="D357" s="14" t="n"/>
      <c r="E357" s="14" t="n"/>
      <c r="F357" s="21" t="n"/>
      <c r="G357" s="21" t="n"/>
      <c r="H357" s="14" t="n"/>
      <c r="I357" s="14" t="n"/>
    </row>
    <row r="358">
      <c r="A358" s="14" t="n"/>
      <c r="B358" s="14" t="n"/>
      <c r="C358" s="14" t="n"/>
      <c r="D358" s="14" t="n"/>
      <c r="E358" s="14" t="n"/>
      <c r="F358" s="21" t="n"/>
      <c r="G358" s="21" t="n"/>
      <c r="H358" s="14" t="n"/>
      <c r="I358" s="14" t="n"/>
    </row>
    <row r="359">
      <c r="A359" s="14" t="n"/>
      <c r="B359" s="14" t="n"/>
      <c r="C359" s="14" t="n"/>
      <c r="D359" s="14" t="n"/>
      <c r="E359" s="14" t="n"/>
      <c r="F359" s="21" t="n"/>
      <c r="G359" s="21" t="n"/>
      <c r="H359" s="14" t="n"/>
      <c r="I359" s="14" t="n"/>
    </row>
    <row r="360">
      <c r="A360" s="14" t="n"/>
      <c r="B360" s="14" t="n"/>
      <c r="C360" s="14" t="n"/>
      <c r="D360" s="14" t="n"/>
      <c r="E360" s="14" t="n"/>
      <c r="F360" s="21" t="n"/>
      <c r="G360" s="21" t="n"/>
      <c r="H360" s="14" t="n"/>
      <c r="I360" s="14" t="n"/>
    </row>
    <row r="361">
      <c r="A361" s="14" t="n"/>
      <c r="B361" s="14" t="n"/>
      <c r="C361" s="14" t="n"/>
      <c r="D361" s="14" t="n"/>
      <c r="E361" s="14" t="n"/>
      <c r="F361" s="21" t="n"/>
      <c r="G361" s="21" t="n"/>
      <c r="H361" s="14" t="n"/>
      <c r="I361" s="14" t="n"/>
    </row>
    <row r="362">
      <c r="A362" s="14" t="n"/>
      <c r="B362" s="14" t="n"/>
      <c r="C362" s="14" t="n"/>
      <c r="D362" s="14" t="n"/>
      <c r="E362" s="14" t="n"/>
      <c r="F362" s="21" t="n"/>
      <c r="G362" s="21" t="n"/>
      <c r="H362" s="14" t="n"/>
      <c r="I362" s="14" t="n"/>
    </row>
    <row r="363">
      <c r="A363" s="14" t="n"/>
      <c r="B363" s="14" t="n"/>
      <c r="C363" s="14" t="n"/>
      <c r="D363" s="14" t="n"/>
      <c r="E363" s="14" t="n"/>
      <c r="F363" s="21" t="n"/>
      <c r="G363" s="21" t="n"/>
      <c r="H363" s="14" t="n"/>
      <c r="I363" s="14" t="n"/>
    </row>
    <row r="364">
      <c r="A364" s="14" t="n"/>
      <c r="B364" s="14" t="n"/>
      <c r="C364" s="14" t="n"/>
      <c r="D364" s="14" t="n"/>
      <c r="E364" s="14" t="n"/>
      <c r="F364" s="21" t="n"/>
      <c r="G364" s="21" t="n"/>
      <c r="H364" s="14" t="n"/>
      <c r="I364" s="14" t="n"/>
    </row>
    <row r="365">
      <c r="A365" s="14" t="n"/>
      <c r="B365" s="14" t="n"/>
      <c r="C365" s="14" t="n"/>
      <c r="D365" s="14" t="n"/>
      <c r="E365" s="14" t="n"/>
      <c r="F365" s="21" t="n"/>
      <c r="G365" s="21" t="n"/>
      <c r="H365" s="14" t="n"/>
      <c r="I365" s="14" t="n"/>
    </row>
    <row r="366">
      <c r="A366" s="14" t="n"/>
      <c r="B366" s="14" t="n"/>
      <c r="C366" s="14" t="n"/>
      <c r="D366" s="14" t="n"/>
      <c r="E366" s="14" t="n"/>
      <c r="F366" s="21" t="n"/>
      <c r="G366" s="21" t="n"/>
      <c r="H366" s="14" t="n"/>
      <c r="I366" s="14" t="n"/>
    </row>
    <row r="367">
      <c r="A367" s="14" t="n"/>
      <c r="B367" s="14" t="n"/>
      <c r="C367" s="14" t="n"/>
      <c r="D367" s="14" t="n"/>
      <c r="E367" s="14" t="n"/>
      <c r="F367" s="21" t="n"/>
      <c r="G367" s="21" t="n"/>
      <c r="H367" s="14" t="n"/>
      <c r="I367" s="14" t="n"/>
    </row>
    <row r="368">
      <c r="A368" s="14" t="n"/>
      <c r="B368" s="14" t="n"/>
      <c r="C368" s="14" t="n"/>
      <c r="D368" s="14" t="n"/>
      <c r="E368" s="14" t="n"/>
      <c r="F368" s="21" t="n"/>
      <c r="G368" s="21" t="n"/>
      <c r="H368" s="14" t="n"/>
      <c r="I368" s="14" t="n"/>
    </row>
    <row r="369">
      <c r="A369" s="14" t="n"/>
      <c r="B369" s="14" t="n"/>
      <c r="C369" s="14" t="n"/>
      <c r="D369" s="14" t="n"/>
      <c r="E369" s="14" t="n"/>
      <c r="F369" s="21" t="n"/>
      <c r="G369" s="21" t="n"/>
      <c r="H369" s="14" t="n"/>
      <c r="I369" s="14" t="n"/>
    </row>
    <row r="370">
      <c r="A370" s="14" t="n"/>
      <c r="B370" s="14" t="n"/>
      <c r="C370" s="14" t="n"/>
      <c r="D370" s="14" t="n"/>
      <c r="E370" s="14" t="n"/>
      <c r="F370" s="21" t="n"/>
      <c r="G370" s="21" t="n"/>
      <c r="H370" s="14" t="n"/>
      <c r="I370" s="14" t="n"/>
    </row>
    <row r="371">
      <c r="A371" s="14" t="n"/>
      <c r="B371" s="14" t="n"/>
      <c r="C371" s="14" t="n"/>
      <c r="D371" s="14" t="n"/>
      <c r="E371" s="14" t="n"/>
      <c r="F371" s="21" t="n"/>
      <c r="G371" s="21" t="n"/>
      <c r="H371" s="14" t="n"/>
      <c r="I371" s="14" t="n"/>
    </row>
    <row r="372">
      <c r="A372" s="14" t="n"/>
      <c r="B372" s="14" t="n"/>
      <c r="C372" s="14" t="n"/>
      <c r="D372" s="14" t="n"/>
      <c r="E372" s="14" t="n"/>
      <c r="F372" s="21" t="n"/>
      <c r="G372" s="21" t="n"/>
      <c r="H372" s="14" t="n"/>
      <c r="I372" s="14" t="n"/>
    </row>
    <row r="373">
      <c r="A373" s="14" t="n"/>
      <c r="B373" s="14" t="n"/>
      <c r="C373" s="14" t="n"/>
      <c r="D373" s="14" t="n"/>
      <c r="E373" s="14" t="n"/>
      <c r="F373" s="21" t="n"/>
      <c r="G373" s="21" t="n"/>
      <c r="H373" s="14" t="n"/>
      <c r="I373" s="14" t="n"/>
    </row>
    <row r="374">
      <c r="A374" s="14" t="n"/>
      <c r="B374" s="14" t="n"/>
      <c r="C374" s="14" t="n"/>
      <c r="D374" s="14" t="n"/>
      <c r="E374" s="14" t="n"/>
      <c r="F374" s="21" t="n"/>
      <c r="G374" s="21" t="n"/>
      <c r="H374" s="14" t="n"/>
      <c r="I374" s="14" t="n"/>
    </row>
    <row r="375">
      <c r="A375" s="14" t="n"/>
      <c r="B375" s="14" t="n"/>
      <c r="C375" s="14" t="n"/>
      <c r="D375" s="14" t="n"/>
      <c r="E375" s="14" t="n"/>
      <c r="F375" s="21" t="n"/>
      <c r="G375" s="21" t="n"/>
      <c r="H375" s="14" t="n"/>
      <c r="I375" s="14" t="n"/>
    </row>
    <row r="376">
      <c r="A376" s="14" t="n"/>
      <c r="B376" s="14" t="n"/>
      <c r="C376" s="14" t="n"/>
      <c r="D376" s="14" t="n"/>
      <c r="E376" s="14" t="n"/>
      <c r="F376" s="21" t="n"/>
      <c r="G376" s="21" t="n"/>
      <c r="H376" s="14" t="n"/>
      <c r="I376" s="14" t="n"/>
    </row>
    <row r="377">
      <c r="A377" s="14" t="n"/>
      <c r="B377" s="14" t="n"/>
      <c r="C377" s="14" t="n"/>
      <c r="D377" s="14" t="n"/>
      <c r="E377" s="14" t="n"/>
      <c r="F377" s="21" t="n"/>
      <c r="G377" s="21" t="n"/>
      <c r="H377" s="14" t="n"/>
      <c r="I377" s="14" t="n"/>
    </row>
    <row r="378">
      <c r="A378" s="14" t="n"/>
      <c r="B378" s="14" t="n"/>
      <c r="C378" s="14" t="n"/>
      <c r="D378" s="14" t="n"/>
      <c r="E378" s="14" t="n"/>
      <c r="F378" s="21" t="n"/>
      <c r="G378" s="21" t="n"/>
      <c r="H378" s="14" t="n"/>
      <c r="I378" s="14" t="n"/>
    </row>
    <row r="379">
      <c r="A379" s="14" t="n"/>
      <c r="B379" s="14" t="n"/>
      <c r="C379" s="14" t="n"/>
      <c r="D379" s="14" t="n"/>
      <c r="E379" s="14" t="n"/>
      <c r="F379" s="21" t="n"/>
      <c r="G379" s="21" t="n"/>
      <c r="H379" s="14" t="n"/>
      <c r="I379" s="14" t="n"/>
    </row>
    <row r="380">
      <c r="A380" s="14" t="n"/>
      <c r="B380" s="14" t="n"/>
      <c r="C380" s="14" t="n"/>
      <c r="D380" s="14" t="n"/>
      <c r="E380" s="14" t="n"/>
      <c r="F380" s="21" t="n"/>
      <c r="G380" s="21" t="n"/>
      <c r="H380" s="14" t="n"/>
      <c r="I380" s="14" t="n"/>
    </row>
    <row r="381">
      <c r="A381" s="14" t="n"/>
      <c r="B381" s="14" t="n"/>
      <c r="C381" s="14" t="n"/>
      <c r="D381" s="14" t="n"/>
      <c r="E381" s="14" t="n"/>
      <c r="F381" s="21" t="n"/>
      <c r="G381" s="21" t="n"/>
      <c r="H381" s="14" t="n"/>
      <c r="I381" s="14" t="n"/>
    </row>
    <row r="382">
      <c r="A382" s="14" t="n"/>
      <c r="B382" s="14" t="n"/>
      <c r="C382" s="14" t="n"/>
      <c r="D382" s="14" t="n"/>
      <c r="E382" s="14" t="n"/>
      <c r="F382" s="21" t="n"/>
      <c r="G382" s="21" t="n"/>
      <c r="H382" s="14" t="n"/>
      <c r="I382" s="14" t="n"/>
    </row>
    <row r="383">
      <c r="A383" s="14" t="n"/>
      <c r="B383" s="14" t="n"/>
      <c r="C383" s="14" t="n"/>
      <c r="D383" s="14" t="n"/>
      <c r="E383" s="14" t="n"/>
      <c r="F383" s="21" t="n"/>
      <c r="G383" s="21" t="n"/>
      <c r="H383" s="14" t="n"/>
      <c r="I383" s="14" t="n"/>
    </row>
    <row r="384">
      <c r="A384" s="14" t="n"/>
      <c r="B384" s="14" t="n"/>
      <c r="C384" s="14" t="n"/>
      <c r="D384" s="14" t="n"/>
      <c r="E384" s="14" t="n"/>
      <c r="F384" s="21" t="n"/>
      <c r="G384" s="21" t="n"/>
      <c r="H384" s="14" t="n"/>
      <c r="I384" s="14" t="n"/>
    </row>
    <row r="385">
      <c r="A385" s="14" t="n"/>
      <c r="B385" s="14" t="n"/>
      <c r="C385" s="14" t="n"/>
      <c r="D385" s="14" t="n"/>
      <c r="E385" s="14" t="n"/>
      <c r="F385" s="21" t="n"/>
      <c r="G385" s="21" t="n"/>
      <c r="H385" s="14" t="n"/>
      <c r="I385" s="14" t="n"/>
    </row>
    <row r="386">
      <c r="A386" s="14" t="n"/>
      <c r="B386" s="14" t="n"/>
      <c r="C386" s="14" t="n"/>
      <c r="D386" s="14" t="n"/>
      <c r="E386" s="14" t="n"/>
      <c r="F386" s="21" t="n"/>
      <c r="G386" s="21" t="n"/>
      <c r="H386" s="14" t="n"/>
      <c r="I386" s="14" t="n"/>
    </row>
    <row r="387">
      <c r="A387" s="14" t="n"/>
      <c r="B387" s="14" t="n"/>
      <c r="C387" s="14" t="n"/>
      <c r="D387" s="14" t="n"/>
      <c r="E387" s="14" t="n"/>
      <c r="F387" s="21" t="n"/>
      <c r="G387" s="21" t="n"/>
      <c r="H387" s="14" t="n"/>
      <c r="I387" s="14" t="n"/>
    </row>
    <row r="388">
      <c r="A388" s="14" t="n"/>
      <c r="B388" s="14" t="n"/>
      <c r="C388" s="14" t="n"/>
      <c r="D388" s="14" t="n"/>
      <c r="E388" s="14" t="n"/>
      <c r="F388" s="21" t="n"/>
      <c r="G388" s="21" t="n"/>
      <c r="H388" s="14" t="n"/>
      <c r="I388" s="14" t="n"/>
    </row>
    <row r="389">
      <c r="A389" s="14" t="n"/>
      <c r="B389" s="14" t="n"/>
      <c r="C389" s="14" t="n"/>
      <c r="D389" s="14" t="n"/>
      <c r="E389" s="14" t="n"/>
      <c r="F389" s="21" t="n"/>
      <c r="G389" s="21" t="n"/>
      <c r="H389" s="14" t="n"/>
      <c r="I389" s="14" t="n"/>
    </row>
    <row r="390">
      <c r="A390" s="14" t="n"/>
      <c r="B390" s="14" t="n"/>
      <c r="C390" s="14" t="n"/>
      <c r="D390" s="14" t="n"/>
      <c r="E390" s="14" t="n"/>
      <c r="F390" s="21" t="n"/>
      <c r="G390" s="21" t="n"/>
      <c r="H390" s="14" t="n"/>
      <c r="I390" s="14" t="n"/>
    </row>
    <row r="391">
      <c r="A391" s="14" t="n"/>
      <c r="B391" s="14" t="n"/>
      <c r="C391" s="14" t="n"/>
      <c r="D391" s="14" t="n"/>
      <c r="E391" s="14" t="n"/>
      <c r="F391" s="21" t="n"/>
      <c r="G391" s="21" t="n"/>
      <c r="H391" s="14" t="n"/>
      <c r="I391" s="14" t="n"/>
    </row>
    <row r="392">
      <c r="A392" s="14" t="n"/>
      <c r="B392" s="14" t="n"/>
      <c r="C392" s="14" t="n"/>
      <c r="D392" s="14" t="n"/>
      <c r="E392" s="14" t="n"/>
      <c r="F392" s="21" t="n"/>
      <c r="G392" s="21" t="n"/>
      <c r="H392" s="14" t="n"/>
      <c r="I392" s="14" t="n"/>
    </row>
    <row r="393">
      <c r="A393" s="14" t="n"/>
      <c r="B393" s="14" t="n"/>
      <c r="C393" s="14" t="n"/>
      <c r="D393" s="14" t="n"/>
      <c r="E393" s="14" t="n"/>
      <c r="F393" s="21" t="n"/>
      <c r="G393" s="21" t="n"/>
      <c r="H393" s="14" t="n"/>
      <c r="I393" s="14" t="n"/>
    </row>
    <row r="394">
      <c r="A394" s="14" t="n"/>
      <c r="B394" s="14" t="n"/>
      <c r="C394" s="14" t="n"/>
      <c r="D394" s="14" t="n"/>
      <c r="E394" s="14" t="n"/>
      <c r="F394" s="21" t="n"/>
      <c r="G394" s="21" t="n"/>
      <c r="H394" s="14" t="n"/>
      <c r="I394" s="14" t="n"/>
    </row>
    <row r="395">
      <c r="A395" s="14" t="n"/>
      <c r="B395" s="14" t="n"/>
      <c r="C395" s="14" t="n"/>
      <c r="D395" s="14" t="n"/>
      <c r="E395" s="14" t="n"/>
      <c r="F395" s="21" t="n"/>
      <c r="G395" s="21" t="n"/>
      <c r="H395" s="14" t="n"/>
      <c r="I395" s="14" t="n"/>
    </row>
    <row r="396">
      <c r="A396" s="14" t="n"/>
      <c r="B396" s="14" t="n"/>
      <c r="C396" s="14" t="n"/>
      <c r="D396" s="14" t="n"/>
      <c r="E396" s="14" t="n"/>
      <c r="F396" s="21" t="n"/>
      <c r="G396" s="21" t="n"/>
      <c r="H396" s="14" t="n"/>
      <c r="I396" s="14" t="n"/>
    </row>
    <row r="397">
      <c r="A397" s="14" t="n"/>
      <c r="B397" s="14" t="n"/>
      <c r="C397" s="14" t="n"/>
      <c r="D397" s="14" t="n"/>
      <c r="E397" s="14" t="n"/>
      <c r="F397" s="21" t="n"/>
      <c r="G397" s="21" t="n"/>
      <c r="H397" s="14" t="n"/>
      <c r="I397" s="14" t="n"/>
    </row>
    <row r="398">
      <c r="A398" s="14" t="n"/>
      <c r="B398" s="14" t="n"/>
      <c r="C398" s="14" t="n"/>
      <c r="D398" s="14" t="n"/>
      <c r="E398" s="14" t="n"/>
      <c r="F398" s="21" t="n"/>
      <c r="G398" s="21" t="n"/>
      <c r="H398" s="14" t="n"/>
      <c r="I398" s="14" t="n"/>
    </row>
    <row r="399">
      <c r="A399" s="14" t="n"/>
      <c r="B399" s="14" t="n"/>
      <c r="C399" s="14" t="n"/>
      <c r="D399" s="14" t="n"/>
      <c r="E399" s="14" t="n"/>
      <c r="F399" s="21" t="n"/>
      <c r="G399" s="21" t="n"/>
      <c r="H399" s="14" t="n"/>
      <c r="I399" s="14" t="n"/>
    </row>
    <row r="400">
      <c r="A400" s="14" t="n"/>
      <c r="B400" s="14" t="n"/>
      <c r="C400" s="14" t="n"/>
      <c r="D400" s="14" t="n"/>
      <c r="E400" s="14" t="n"/>
      <c r="F400" s="21" t="n"/>
      <c r="G400" s="21" t="n"/>
      <c r="H400" s="14" t="n"/>
      <c r="I400" s="14"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Log'!$A$2:$A$318</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4" t="inlineStr">
        <is>
          <t>Just Games</t>
        </is>
      </c>
      <c r="B2" s="14" t="inlineStr">
        <is>
          <t>https://www.justgamesrochester.com/category/pokemon/</t>
        </is>
      </c>
      <c r="C2" s="14" t="inlineStr">
        <is>
          <t>Panorama Plaza, Penfield</t>
        </is>
      </c>
      <c r="D2" s="14" t="inlineStr">
        <is>
          <t>Singles, Sealed product, Organized Play, Prereleases</t>
        </is>
      </c>
      <c r="E2" s="14" t="inlineStr">
        <is>
          <t>Rochester's flagship game store and the one with the busiest Pokemon calendar. Prereleases every set, a learn to play session for anyone starting out, and League Challenges and Cups through the year.</t>
        </is>
      </c>
      <c r="F2" s="14" t="inlineStr">
        <is>
          <t>No</t>
        </is>
      </c>
    </row>
    <row r="3">
      <c r="A3" s="14" t="inlineStr">
        <is>
          <t>Millennium Games</t>
        </is>
      </c>
      <c r="B3" s="14" t="inlineStr">
        <is>
          <t>https://shop.millenniumgames.com/collections/pokemon-tcg</t>
        </is>
      </c>
      <c r="C3" s="14" t="inlineStr">
        <is>
          <t>Jefferson Road, Henrietta</t>
        </is>
      </c>
      <c r="D3" s="14" t="inlineStr">
        <is>
          <t>Sealed product, Singles, In store, Organized Play</t>
        </is>
      </c>
      <c r="E3" s="14" t="inlineStr">
        <is>
          <t>One of the biggest game stores in the area, with a Pokemon section to match and a sanctioned league of its own.</t>
        </is>
      </c>
      <c r="F3" s="14" t="inlineStr">
        <is>
          <t>No</t>
        </is>
      </c>
    </row>
    <row r="4">
      <c r="A4" s="14" t="inlineStr">
        <is>
          <t>LingSter Games</t>
        </is>
      </c>
      <c r="B4" s="14" t="inlineStr">
        <is>
          <t>https://lingstergames.com/collections/pokemon</t>
        </is>
      </c>
      <c r="C4" s="14" t="inlineStr">
        <is>
          <t>West Ridge Road, Rochester</t>
        </is>
      </c>
      <c r="D4" s="14" t="inlineStr">
        <is>
          <t>Sealed product, Singles, New releases</t>
        </is>
      </c>
      <c r="E4" s="14" t="inlineStr">
        <is>
          <t>Deep Pokemon singles and sealed, and the first stop when a set drops.</t>
        </is>
      </c>
      <c r="F4" s="14" t="inlineStr">
        <is>
          <t>No</t>
        </is>
      </c>
    </row>
    <row r="5">
      <c r="A5" s="14" t="inlineStr">
        <is>
          <t>Legacy Games</t>
        </is>
      </c>
      <c r="B5" s="14" t="inlineStr">
        <is>
          <t>https://legacygamestore.com/</t>
        </is>
      </c>
      <c r="C5" s="14" t="inlineStr">
        <is>
          <t>Ridge Road, Webster</t>
        </is>
      </c>
      <c r="D5" s="14" t="inlineStr">
        <is>
          <t>Singles, Buylist, In store</t>
        </is>
      </c>
      <c r="E5" s="14" t="inlineStr">
        <is>
          <t>The Webster one, and the furthest east of these. They run a separate singles storefront alongside the main site, so you can see which Pokemon singles are actually in the case before you make the drive. They buy cards too.</t>
        </is>
      </c>
      <c r="F5" s="14" t="inlineStr">
        <is>
          <t>No</t>
        </is>
      </c>
    </row>
    <row r="6">
      <c r="A6" s="14" t="inlineStr">
        <is>
          <t>Great Lakes Gaming</t>
        </is>
      </c>
      <c r="B6" s="14" t="inlineStr">
        <is>
          <t>https://www.glgaminglounges.com/pokemon</t>
        </is>
      </c>
      <c r="C6" s="14" t="inlineStr">
        <is>
          <t>South Clinton Avenue, downtown</t>
        </is>
      </c>
      <c r="D6" s="14" t="inlineStr">
        <is>
          <t>Sealed product, Organized Play, In store</t>
        </is>
      </c>
      <c r="E6" s="14" t="inlineStr">
        <is>
          <t>Not a shop front. It is a gaming lounge on the 22nd floor of an office tower downtown that sells Pokemon packs, Elite Trainer Boxes and booster boxes at the counter and gives Wednesday night over to Pokemon.</t>
        </is>
      </c>
      <c r="F6" s="14" t="inlineStr">
        <is>
          <t>No</t>
        </is>
      </c>
    </row>
    <row r="7">
      <c r="A7" s="14" t="inlineStr">
        <is>
          <t>WeTheHobby</t>
        </is>
      </c>
      <c r="B7" s="14" t="inlineStr">
        <is>
          <t>https://www.wethehobby.com/</t>
        </is>
      </c>
      <c r="C7" s="14" t="inlineStr">
        <is>
          <t>Arlington Street, Neighborhood of the Arts</t>
        </is>
      </c>
      <c r="D7" s="14" t="inlineStr">
        <is>
          <t>Organized Play, In store</t>
        </is>
      </c>
      <c r="E7" s="14" t="inlineStr">
        <is>
          <t>Mostly sports cards, and better known for breaking live online than for a Pokemon singles case. The Arlington Street building is a real shop and lounge you can walk into though, and there is a Pokemon league in it every week.</t>
        </is>
      </c>
      <c r="F7" s="14"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2026-08-19T14:02:06Z</dcterms:created>
  <dcterms:modified xsi:type="dcterms:W3CDTF">2026-08-19T14:02:07Z</dcterms:modified>
</cp:coreProperties>
</file>