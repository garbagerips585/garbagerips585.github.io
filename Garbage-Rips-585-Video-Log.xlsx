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K1" authorId="0" shapeId="0">
      <text>
        <t>COMPUTED. Do not type here.
It adds up Packs, Packs 2, Packs 3, Packs 4 and Packs 5.
Put the count for each set in that set's own Packs column and this
adds itself up. Typing over it deletes the sum for that row.</t>
      </text>
    </comment>
    <comment ref="M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N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Greatest Hits</t>
        </is>
      </c>
      <c r="B31" s="3" t="inlineStr">
        <is>
          <t>Mark Yes on the RIPS you want in the gold section at the top of the home page. Rank orders them, 1 first. Leave Rank blank and the site orders by rarity then views. These are videos.</t>
        </is>
      </c>
    </row>
    <row r="32"/>
    <row r="33" ht="30" customHeight="1">
      <c r="A33" s="2" t="inlineStr">
        <is>
          <t>Card Hall of Fame</t>
        </is>
      </c>
      <c r="B33"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4"/>
    <row r="35" ht="30" customHeight="1">
      <c r="A35" s="2" t="inlineStr">
        <is>
          <t>PSA 10 prices</t>
        </is>
      </c>
      <c r="B35" s="3" t="inlineStr">
        <is>
          <t>Put in a number you have actually seen, set PSA 10 Checked to the date you checked it (2026-08-11 format), and name the source. A graded price with no date is not a fact about anything, and a blank shows nothing rather than a guess.</t>
        </is>
      </c>
    </row>
    <row r="36"/>
    <row r="37" ht="30" customHeight="1">
      <c r="A37" s="5" t="inlineStr">
        <is>
          <t>Careful</t>
        </is>
      </c>
      <c r="B37"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Heroes Mini Tin</t>
        </is>
      </c>
      <c r="G18" s="7" t="inlineStr">
        <is>
          <t>Archen</t>
        </is>
      </c>
      <c r="K18" s="7" t="inlineStr">
        <is>
          <t>17</t>
        </is>
      </c>
    </row>
    <row r="19">
      <c r="A19" s="7" t="inlineStr">
        <is>
          <t>Paradox Rift</t>
        </is>
      </c>
      <c r="B19" s="7" t="inlineStr">
        <is>
          <t>Other</t>
        </is>
      </c>
      <c r="F19" s="7" t="inlineStr">
        <is>
          <t>Mega Meganium Box : Where are the hits</t>
        </is>
      </c>
      <c r="G19" s="7" t="inlineStr">
        <is>
          <t>Archeops</t>
        </is>
      </c>
      <c r="K19" s="7" t="inlineStr">
        <is>
          <t>18</t>
        </is>
      </c>
    </row>
    <row r="20">
      <c r="A20" s="7" t="inlineStr">
        <is>
          <t>151</t>
        </is>
      </c>
      <c r="F20" s="7" t="inlineStr">
        <is>
          <t>Mega Meganium ex Box</t>
        </is>
      </c>
      <c r="G20" s="7" t="inlineStr">
        <is>
          <t>Arctibax</t>
        </is>
      </c>
      <c r="K20" s="7" t="inlineStr">
        <is>
          <t>19</t>
        </is>
      </c>
    </row>
    <row r="21">
      <c r="A21" s="7" t="inlineStr">
        <is>
          <t>Obsidian Flames</t>
        </is>
      </c>
      <c r="F21" s="7" t="inlineStr">
        <is>
          <t>Mega Venusaur ex Premium Collection Opening</t>
        </is>
      </c>
      <c r="G21" s="7" t="inlineStr">
        <is>
          <t>Armarouge</t>
        </is>
      </c>
      <c r="K21" s="7" t="inlineStr">
        <is>
          <t>20</t>
        </is>
      </c>
    </row>
    <row r="22">
      <c r="A22" s="7" t="inlineStr">
        <is>
          <t>Paldea Evolved</t>
        </is>
      </c>
      <c r="F22" s="7" t="inlineStr">
        <is>
          <t>Mega Zygarde ex Premium Collection</t>
        </is>
      </c>
      <c r="G22" s="7" t="inlineStr">
        <is>
          <t>Articuno</t>
        </is>
      </c>
    </row>
    <row r="23">
      <c r="A23" s="7" t="inlineStr">
        <is>
          <t>Scarlet &amp; Violet</t>
        </is>
      </c>
      <c r="F23" s="7" t="inlineStr">
        <is>
          <t>Perfect Order 3-Pack Blister</t>
        </is>
      </c>
      <c r="G23" s="7" t="inlineStr">
        <is>
          <t>Arven's Mabosstiff ex</t>
        </is>
      </c>
    </row>
    <row r="24">
      <c r="A24" s="7" t="inlineStr">
        <is>
          <t>Crown Zenith</t>
        </is>
      </c>
      <c r="F24" s="7" t="inlineStr">
        <is>
          <t>Perfect Order Booster Bundle</t>
        </is>
      </c>
      <c r="G24" s="7" t="inlineStr">
        <is>
          <t>Audino</t>
        </is>
      </c>
    </row>
    <row r="25">
      <c r="A25" s="7" t="inlineStr">
        <is>
          <t>Pokémon GO</t>
        </is>
      </c>
      <c r="F25" s="7" t="inlineStr">
        <is>
          <t>Perfect Order ETB</t>
        </is>
      </c>
      <c r="G25" s="7" t="inlineStr">
        <is>
          <t>Axew</t>
        </is>
      </c>
    </row>
    <row r="26">
      <c r="A26" s="7" t="inlineStr">
        <is>
          <t>Celebrations</t>
        </is>
      </c>
      <c r="F26" s="7" t="inlineStr">
        <is>
          <t>Prismatic Evolutions ETB</t>
        </is>
      </c>
      <c r="G26" s="7" t="inlineStr">
        <is>
          <t>Banette</t>
        </is>
      </c>
    </row>
    <row r="27">
      <c r="A27" s="7" t="inlineStr">
        <is>
          <t>Chilling Reign</t>
        </is>
      </c>
      <c r="F27" s="7" t="inlineStr">
        <is>
          <t>Prismatic Evolutions Mini Tin</t>
        </is>
      </c>
      <c r="G27" s="7" t="inlineStr">
        <is>
          <t>Basic Darkness Energy</t>
        </is>
      </c>
    </row>
    <row r="28">
      <c r="A28" s="7" t="inlineStr">
        <is>
          <t>Shining Fates</t>
        </is>
      </c>
      <c r="F28" s="7" t="inlineStr">
        <is>
          <t>Prismatic Evolutions Poster Collection</t>
        </is>
      </c>
      <c r="G28" s="7" t="inlineStr">
        <is>
          <t>Basic Metal Energy</t>
        </is>
      </c>
    </row>
    <row r="29">
      <c r="A29" s="7" t="inlineStr">
        <is>
          <t>Rebel Clash</t>
        </is>
      </c>
      <c r="F29" s="7" t="inlineStr">
        <is>
          <t>Prismatic Evolutions Tech Sticker Collection</t>
        </is>
      </c>
      <c r="G29" s="7" t="inlineStr">
        <is>
          <t>Baxcalibur</t>
        </is>
      </c>
    </row>
    <row r="30">
      <c r="A30" s="7" t="inlineStr">
        <is>
          <t>Abyss Eye (JP)</t>
        </is>
      </c>
      <c r="F30" s="7" t="inlineStr">
        <is>
          <t>Trick or Trade BOOster Bundle</t>
        </is>
      </c>
      <c r="G30" s="7" t="inlineStr">
        <is>
          <t>Bewear</t>
        </is>
      </c>
    </row>
    <row r="31">
      <c r="A31" s="7" t="inlineStr">
        <is>
          <t>Battle Partners (KR)</t>
        </is>
      </c>
      <c r="F31" s="7" t="inlineStr">
        <is>
          <t>Victini Illustration Collection</t>
        </is>
      </c>
      <c r="G31" s="7" t="inlineStr">
        <is>
          <t>Bianca's Devotion</t>
        </is>
      </c>
    </row>
    <row r="32">
      <c r="A32" s="7" t="inlineStr">
        <is>
          <t>Clay Burst (KR)</t>
        </is>
      </c>
      <c r="G32" s="7" t="inlineStr">
        <is>
          <t>Bisharp</t>
        </is>
      </c>
    </row>
    <row r="33">
      <c r="A33" s="7" t="inlineStr">
        <is>
          <t>Crimson Haze (KR)</t>
        </is>
      </c>
      <c r="G33" s="7" t="inlineStr">
        <is>
          <t>Blastoise ex</t>
        </is>
      </c>
    </row>
    <row r="34">
      <c r="A34" s="7" t="inlineStr">
        <is>
          <t>Cyber Judge (JP)</t>
        </is>
      </c>
      <c r="G34" s="7" t="inlineStr">
        <is>
          <t>Blaziken V</t>
        </is>
      </c>
    </row>
    <row r="35">
      <c r="A35" s="7" t="inlineStr">
        <is>
          <t>Gem Pack Vol. 2 (CN)</t>
        </is>
      </c>
      <c r="G35" s="7" t="inlineStr">
        <is>
          <t>Blaziken VMAX</t>
        </is>
      </c>
    </row>
    <row r="36">
      <c r="A36" s="7" t="inlineStr">
        <is>
          <t>Mask of Change (KR)</t>
        </is>
      </c>
      <c r="G36" s="7" t="inlineStr">
        <is>
          <t>Blissey V</t>
        </is>
      </c>
    </row>
    <row r="37">
      <c r="A37" s="7" t="inlineStr">
        <is>
          <t>Mega Brave (JP)</t>
        </is>
      </c>
      <c r="G37" s="7" t="inlineStr">
        <is>
          <t>Blitzle</t>
        </is>
      </c>
    </row>
    <row r="38">
      <c r="A38" s="7" t="inlineStr">
        <is>
          <t>Mega Symphonia (JP)</t>
        </is>
      </c>
      <c r="G38" s="7" t="inlineStr">
        <is>
          <t>Bloodmoon Ursaluna ex</t>
        </is>
      </c>
    </row>
    <row r="39">
      <c r="A39" s="7" t="inlineStr">
        <is>
          <t>Nihil Zero (JP)</t>
        </is>
      </c>
      <c r="G39" s="7" t="inlineStr">
        <is>
          <t>Boss's Orders</t>
        </is>
      </c>
    </row>
    <row r="40">
      <c r="A40" s="7" t="inlineStr">
        <is>
          <t>Ninja Spinner (JP)</t>
        </is>
      </c>
      <c r="G40" s="7" t="inlineStr">
        <is>
          <t>Boss's Orders (Giovanni)</t>
        </is>
      </c>
    </row>
    <row r="41">
      <c r="A41" s="7" t="inlineStr">
        <is>
          <t>Stellar Miracle (JP)</t>
        </is>
      </c>
      <c r="G41" s="7" t="inlineStr">
        <is>
          <t>Bouffalant ex</t>
        </is>
      </c>
    </row>
    <row r="42">
      <c r="A42" s="7" t="inlineStr">
        <is>
          <t>Violet ex (JP)</t>
        </is>
      </c>
      <c r="G42" s="7" t="inlineStr">
        <is>
          <t>Briar</t>
        </is>
      </c>
    </row>
    <row r="43">
      <c r="A43" s="7" t="inlineStr">
        <is>
          <t>Scarlet &amp; Violet Energies</t>
        </is>
      </c>
      <c r="G43" s="7" t="inlineStr">
        <is>
          <t>Brute Bonnet</t>
        </is>
      </c>
    </row>
    <row r="44">
      <c r="A44" s="7" t="inlineStr">
        <is>
          <t>Crown Zenith Galarian Gallery</t>
        </is>
      </c>
      <c r="G44" s="7" t="inlineStr">
        <is>
          <t>Buddy-Buddy Poffin</t>
        </is>
      </c>
    </row>
    <row r="45">
      <c r="A45" s="7" t="inlineStr">
        <is>
          <t>Scarlet &amp; Violet Black Star Promos</t>
        </is>
      </c>
      <c r="G45" s="7" t="inlineStr">
        <is>
          <t>Bulbasaur</t>
        </is>
      </c>
    </row>
    <row r="46">
      <c r="A46" s="7" t="inlineStr">
        <is>
          <t>Silver Tempest</t>
        </is>
      </c>
      <c r="G46" s="7" t="inlineStr">
        <is>
          <t>Caitlin</t>
        </is>
      </c>
    </row>
    <row r="47">
      <c r="A47" s="7" t="inlineStr">
        <is>
          <t>Silver Tempest Trainer Gallery</t>
        </is>
      </c>
      <c r="G47" s="7" t="inlineStr">
        <is>
          <t>Canari</t>
        </is>
      </c>
    </row>
    <row r="48">
      <c r="A48" s="7" t="inlineStr">
        <is>
          <t>Lost Origin</t>
        </is>
      </c>
      <c r="G48" s="7" t="inlineStr">
        <is>
          <t>Carmine</t>
        </is>
      </c>
    </row>
    <row r="49">
      <c r="A49" s="7" t="inlineStr">
        <is>
          <t>Lost Origin Trainer Gallery</t>
        </is>
      </c>
      <c r="G49" s="7" t="inlineStr">
        <is>
          <t>Carracosta</t>
        </is>
      </c>
    </row>
    <row r="50">
      <c r="A50" s="7" t="inlineStr">
        <is>
          <t>McDonald's Collection 2022</t>
        </is>
      </c>
      <c r="G50" s="7" t="inlineStr">
        <is>
          <t>Cassiopeia</t>
        </is>
      </c>
    </row>
    <row r="51">
      <c r="A51" s="7" t="inlineStr">
        <is>
          <t>Astral Radiance</t>
        </is>
      </c>
      <c r="G51" s="7" t="inlineStr">
        <is>
          <t>Caterpie</t>
        </is>
      </c>
    </row>
    <row r="52">
      <c r="A52" s="7" t="inlineStr">
        <is>
          <t>Astral Radiance Trainer Gallery</t>
        </is>
      </c>
      <c r="G52" s="7" t="inlineStr">
        <is>
          <t>Celebi V</t>
        </is>
      </c>
    </row>
    <row r="53">
      <c r="A53" s="7" t="inlineStr">
        <is>
          <t>Brilliant Stars</t>
        </is>
      </c>
      <c r="G53" s="7" t="inlineStr">
        <is>
          <t>Celebi VMAX</t>
        </is>
      </c>
    </row>
    <row r="54">
      <c r="A54" s="7" t="inlineStr">
        <is>
          <t>Brilliant Stars Trainer Gallery</t>
        </is>
      </c>
      <c r="G54" s="7" t="inlineStr">
        <is>
          <t>Ceruledge</t>
        </is>
      </c>
    </row>
    <row r="55">
      <c r="A55" s="7" t="inlineStr">
        <is>
          <t>Fusion Strike</t>
        </is>
      </c>
      <c r="G55" s="7" t="inlineStr">
        <is>
          <t>Ceruledge ex</t>
        </is>
      </c>
    </row>
    <row r="56">
      <c r="A56" s="7" t="inlineStr">
        <is>
          <t>Celebrations: Classic Collection</t>
        </is>
      </c>
      <c r="G56" s="7" t="inlineStr">
        <is>
          <t>Chandelure</t>
        </is>
      </c>
    </row>
    <row r="57">
      <c r="A57" s="7" t="inlineStr">
        <is>
          <t>Evolving Skies</t>
        </is>
      </c>
      <c r="G57" s="7" t="inlineStr">
        <is>
          <t>Chansey</t>
        </is>
      </c>
    </row>
    <row r="58">
      <c r="A58" s="7" t="inlineStr">
        <is>
          <t>Battle Styles</t>
        </is>
      </c>
      <c r="G58" s="7" t="inlineStr">
        <is>
          <t>Charizard ex</t>
        </is>
      </c>
    </row>
    <row r="59">
      <c r="A59" s="7" t="inlineStr">
        <is>
          <t>Shining Fates Shiny Vault</t>
        </is>
      </c>
      <c r="G59" s="7" t="inlineStr">
        <is>
          <t>Charmander</t>
        </is>
      </c>
    </row>
    <row r="60">
      <c r="A60" s="7" t="inlineStr">
        <is>
          <t>McDonald's Collection 2021</t>
        </is>
      </c>
      <c r="G60" s="7" t="inlineStr">
        <is>
          <t>Charmeleon</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Dachsbun ex</t>
        </is>
      </c>
    </row>
    <row r="81">
      <c r="A81" s="7" t="inlineStr">
        <is>
          <t>McDonald's Collection 2017</t>
        </is>
      </c>
      <c r="G81" s="7" t="inlineStr">
        <is>
          <t>Darmanitan</t>
        </is>
      </c>
    </row>
    <row r="82">
      <c r="A82" s="7" t="inlineStr">
        <is>
          <t>Crimson Invasion</t>
        </is>
      </c>
      <c r="G82" s="7" t="inlineStr">
        <is>
          <t>Darumaka</t>
        </is>
      </c>
    </row>
    <row r="83">
      <c r="A83" s="7" t="inlineStr">
        <is>
          <t>Shining Legends</t>
        </is>
      </c>
      <c r="G83" s="7" t="inlineStr">
        <is>
          <t>Dawn</t>
        </is>
      </c>
    </row>
    <row r="84">
      <c r="A84" s="7" t="inlineStr">
        <is>
          <t>Burning Shadows</t>
        </is>
      </c>
      <c r="G84" s="7" t="inlineStr">
        <is>
          <t>Dedenne ex</t>
        </is>
      </c>
    </row>
    <row r="85">
      <c r="A85" s="7" t="inlineStr">
        <is>
          <t>Guardians Rising</t>
        </is>
      </c>
      <c r="G85" s="7" t="inlineStr">
        <is>
          <t>Deerling</t>
        </is>
      </c>
    </row>
    <row r="86">
      <c r="A86" s="7" t="inlineStr">
        <is>
          <t>SM Black Star Promos</t>
        </is>
      </c>
      <c r="G86" s="7" t="inlineStr">
        <is>
          <t>Deino</t>
        </is>
      </c>
    </row>
    <row r="87">
      <c r="A87" s="7" t="inlineStr">
        <is>
          <t>Sun &amp; Moon</t>
        </is>
      </c>
      <c r="G87" s="7" t="inlineStr">
        <is>
          <t>Dewott</t>
        </is>
      </c>
    </row>
    <row r="88">
      <c r="A88" s="7" t="inlineStr">
        <is>
          <t>Evolutions</t>
        </is>
      </c>
      <c r="G88" s="7" t="inlineStr">
        <is>
          <t>Dipplin</t>
        </is>
      </c>
    </row>
    <row r="89">
      <c r="A89" s="7" t="inlineStr">
        <is>
          <t>McDonald's Collection 2016</t>
        </is>
      </c>
      <c r="G89" s="7" t="inlineStr">
        <is>
          <t>Ditto</t>
        </is>
      </c>
    </row>
    <row r="90">
      <c r="A90" s="7" t="inlineStr">
        <is>
          <t>Steam Siege</t>
        </is>
      </c>
      <c r="G90" s="7" t="inlineStr">
        <is>
          <t>Dondozo</t>
        </is>
      </c>
    </row>
    <row r="91">
      <c r="A91" s="7" t="inlineStr">
        <is>
          <t>Fates Collide</t>
        </is>
      </c>
      <c r="G91" s="7" t="inlineStr">
        <is>
          <t>Dragapult V</t>
        </is>
      </c>
    </row>
    <row r="92">
      <c r="A92" s="7" t="inlineStr">
        <is>
          <t>Generations</t>
        </is>
      </c>
      <c r="G92" s="7" t="inlineStr">
        <is>
          <t>Dragapult VMAX</t>
        </is>
      </c>
    </row>
    <row r="93">
      <c r="A93" s="7" t="inlineStr">
        <is>
          <t>BREAKpoint</t>
        </is>
      </c>
      <c r="G93" s="7" t="inlineStr">
        <is>
          <t>Dragapult ex</t>
        </is>
      </c>
    </row>
    <row r="94">
      <c r="A94" s="7" t="inlineStr">
        <is>
          <t>McDonald's Collection 2015</t>
        </is>
      </c>
      <c r="G94" s="7" t="inlineStr">
        <is>
          <t>Dragonair</t>
        </is>
      </c>
    </row>
    <row r="95">
      <c r="A95" s="7" t="inlineStr">
        <is>
          <t>BREAKthrough</t>
        </is>
      </c>
      <c r="G95" s="7" t="inlineStr">
        <is>
          <t>Dragonite V</t>
        </is>
      </c>
    </row>
    <row r="96">
      <c r="A96" s="7" t="inlineStr">
        <is>
          <t>Ancient Origins</t>
        </is>
      </c>
      <c r="G96" s="7" t="inlineStr">
        <is>
          <t>Dragonite VSTAR</t>
        </is>
      </c>
    </row>
    <row r="97">
      <c r="A97" s="7" t="inlineStr">
        <is>
          <t>Roaring Skies</t>
        </is>
      </c>
      <c r="G97" s="7" t="inlineStr">
        <is>
          <t>Drampa</t>
        </is>
      </c>
    </row>
    <row r="98">
      <c r="A98" s="7" t="inlineStr">
        <is>
          <t>Double Crisis</t>
        </is>
      </c>
      <c r="G98" s="7" t="inlineStr">
        <is>
          <t>Drayton</t>
        </is>
      </c>
    </row>
    <row r="99">
      <c r="A99" s="7" t="inlineStr">
        <is>
          <t>Primal Clash</t>
        </is>
      </c>
      <c r="G99" s="7" t="inlineStr">
        <is>
          <t>Drowzee</t>
        </is>
      </c>
    </row>
    <row r="100">
      <c r="A100" s="7" t="inlineStr">
        <is>
          <t>Phantom Forces</t>
        </is>
      </c>
      <c r="G100" s="7" t="inlineStr">
        <is>
          <t>Druddigon</t>
        </is>
      </c>
    </row>
    <row r="101">
      <c r="A101" s="7" t="inlineStr">
        <is>
          <t>Furious Fists</t>
        </is>
      </c>
      <c r="G101" s="7" t="inlineStr">
        <is>
          <t>Ducklett</t>
        </is>
      </c>
    </row>
    <row r="102">
      <c r="A102" s="7" t="inlineStr">
        <is>
          <t>McDonald's Collection 2014</t>
        </is>
      </c>
      <c r="G102" s="7" t="inlineStr">
        <is>
          <t>Dudunsparce</t>
        </is>
      </c>
    </row>
    <row r="103">
      <c r="A103" s="7" t="inlineStr">
        <is>
          <t>Flashfire</t>
        </is>
      </c>
      <c r="G103" s="7" t="inlineStr">
        <is>
          <t>Duosion</t>
        </is>
      </c>
    </row>
    <row r="104">
      <c r="A104" s="7" t="inlineStr">
        <is>
          <t>XY</t>
        </is>
      </c>
      <c r="G104" s="7" t="inlineStr">
        <is>
          <t>Durant</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Golisopod ex</t>
        </is>
      </c>
    </row>
    <row r="170">
      <c r="A170" s="7" t="inlineStr">
        <is>
          <t>Ruby &amp; Sapphire</t>
        </is>
      </c>
      <c r="G170" s="7" t="inlineStr">
        <is>
          <t>Golurk</t>
        </is>
      </c>
    </row>
    <row r="171">
      <c r="A171" s="7" t="inlineStr">
        <is>
          <t>Skyridge</t>
        </is>
      </c>
      <c r="G171" s="7" t="inlineStr">
        <is>
          <t>Gothita</t>
        </is>
      </c>
    </row>
    <row r="172">
      <c r="A172" s="7" t="inlineStr">
        <is>
          <t>Aquapolis</t>
        </is>
      </c>
      <c r="G172" s="7" t="inlineStr">
        <is>
          <t>Gothorita</t>
        </is>
      </c>
    </row>
    <row r="173">
      <c r="A173" s="7" t="inlineStr">
        <is>
          <t>Best of Game</t>
        </is>
      </c>
      <c r="G173" s="7" t="inlineStr">
        <is>
          <t>Gouging Fire ex</t>
        </is>
      </c>
    </row>
    <row r="174">
      <c r="A174" s="7" t="inlineStr">
        <is>
          <t>Expedition Base Set</t>
        </is>
      </c>
      <c r="G174" s="7" t="inlineStr">
        <is>
          <t>Gravity Mountain</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Okidogi</t>
        </is>
      </c>
    </row>
    <row r="331">
      <c r="G331" s="7" t="inlineStr">
        <is>
          <t>Okidogi ex</t>
        </is>
      </c>
    </row>
    <row r="332">
      <c r="G332" s="7" t="inlineStr">
        <is>
          <t>Omanyte</t>
        </is>
      </c>
    </row>
    <row r="333">
      <c r="G333" s="7" t="inlineStr">
        <is>
          <t>Oshawott</t>
        </is>
      </c>
    </row>
    <row r="334">
      <c r="G334" s="7" t="inlineStr">
        <is>
          <t>Pachirisu</t>
        </is>
      </c>
    </row>
    <row r="335">
      <c r="G335" s="7" t="inlineStr">
        <is>
          <t>Palafin ex</t>
        </is>
      </c>
    </row>
    <row r="336">
      <c r="G336" s="7" t="inlineStr">
        <is>
          <t>Paldean Tauros</t>
        </is>
      </c>
    </row>
    <row r="337">
      <c r="G337" s="7" t="inlineStr">
        <is>
          <t>Paldean Wooper</t>
        </is>
      </c>
    </row>
    <row r="338">
      <c r="G338" s="7" t="inlineStr">
        <is>
          <t>Palpitoad</t>
        </is>
      </c>
    </row>
    <row r="339">
      <c r="G339" s="7" t="inlineStr">
        <is>
          <t>Panpour</t>
        </is>
      </c>
    </row>
    <row r="340">
      <c r="G340" s="7" t="inlineStr">
        <is>
          <t>Pansage</t>
        </is>
      </c>
    </row>
    <row r="341">
      <c r="G341" s="7" t="inlineStr">
        <is>
          <t>Pansear</t>
        </is>
      </c>
    </row>
    <row r="342">
      <c r="G342" s="7" t="inlineStr">
        <is>
          <t>Parasol Lady</t>
        </is>
      </c>
    </row>
    <row r="343">
      <c r="G343" s="7" t="inlineStr">
        <is>
          <t>Patrat</t>
        </is>
      </c>
    </row>
    <row r="344">
      <c r="G344" s="7" t="inlineStr">
        <is>
          <t>Pawmot</t>
        </is>
      </c>
    </row>
    <row r="345">
      <c r="G345" s="7" t="inlineStr">
        <is>
          <t>Pecharunt ex</t>
        </is>
      </c>
    </row>
    <row r="346">
      <c r="G346" s="7" t="inlineStr">
        <is>
          <t>Penny</t>
        </is>
      </c>
    </row>
    <row r="347">
      <c r="G347" s="7" t="inlineStr">
        <is>
          <t>Perrin</t>
        </is>
      </c>
    </row>
    <row r="348">
      <c r="G348" s="7" t="inlineStr">
        <is>
          <t>Persian</t>
        </is>
      </c>
    </row>
    <row r="349">
      <c r="G349" s="7" t="inlineStr">
        <is>
          <t>Petilil</t>
        </is>
      </c>
    </row>
    <row r="350">
      <c r="G350" s="7" t="inlineStr">
        <is>
          <t>Phione</t>
        </is>
      </c>
    </row>
    <row r="351">
      <c r="G351" s="7" t="inlineStr">
        <is>
          <t>Pidgeot ex</t>
        </is>
      </c>
    </row>
    <row r="352">
      <c r="G352" s="7" t="inlineStr">
        <is>
          <t>Pidgeotto</t>
        </is>
      </c>
    </row>
    <row r="353">
      <c r="G353" s="7" t="inlineStr">
        <is>
          <t>Pidgey</t>
        </is>
      </c>
    </row>
    <row r="354">
      <c r="G354" s="7" t="inlineStr">
        <is>
          <t>Pidove</t>
        </is>
      </c>
    </row>
    <row r="355">
      <c r="G355" s="7" t="inlineStr">
        <is>
          <t>Pignite</t>
        </is>
      </c>
    </row>
    <row r="356">
      <c r="G356" s="7" t="inlineStr">
        <is>
          <t>Pikachu</t>
        </is>
      </c>
    </row>
    <row r="357">
      <c r="G357" s="7" t="inlineStr">
        <is>
          <t>Pikachu ex</t>
        </is>
      </c>
    </row>
    <row r="358">
      <c r="G358" s="7" t="inlineStr">
        <is>
          <t>Pinsir</t>
        </is>
      </c>
    </row>
    <row r="359">
      <c r="G359" s="7" t="inlineStr">
        <is>
          <t>Piplup</t>
        </is>
      </c>
    </row>
    <row r="360">
      <c r="G360" s="7" t="inlineStr">
        <is>
          <t>Plusle</t>
        </is>
      </c>
    </row>
    <row r="361">
      <c r="G361" s="7" t="inlineStr">
        <is>
          <t>Poliwhirl</t>
        </is>
      </c>
    </row>
    <row r="362">
      <c r="G362" s="7" t="inlineStr">
        <is>
          <t>Porygon-Z</t>
        </is>
      </c>
    </row>
    <row r="363">
      <c r="G363" s="7" t="inlineStr">
        <is>
          <t>Powerglass</t>
        </is>
      </c>
    </row>
    <row r="364">
      <c r="G364" s="7" t="inlineStr">
        <is>
          <t>Psychic Energy</t>
        </is>
      </c>
    </row>
    <row r="365">
      <c r="G365" s="7" t="inlineStr">
        <is>
          <t>Psyduck</t>
        </is>
      </c>
    </row>
    <row r="366">
      <c r="G366" s="7" t="inlineStr">
        <is>
          <t>Purrloin</t>
        </is>
      </c>
    </row>
    <row r="367">
      <c r="G367" s="7" t="inlineStr">
        <is>
          <t>Pyroar</t>
        </is>
      </c>
    </row>
    <row r="368">
      <c r="G368" s="7" t="inlineStr">
        <is>
          <t>Quaquaval ex</t>
        </is>
      </c>
    </row>
    <row r="369">
      <c r="G369" s="7" t="inlineStr">
        <is>
          <t>Quaxly</t>
        </is>
      </c>
    </row>
    <row r="370">
      <c r="G370" s="7" t="inlineStr">
        <is>
          <t>Radiant Blastoise</t>
        </is>
      </c>
    </row>
    <row r="371">
      <c r="G371" s="7" t="inlineStr">
        <is>
          <t>Radiant Charizard</t>
        </is>
      </c>
    </row>
    <row r="372">
      <c r="G372" s="7" t="inlineStr">
        <is>
          <t>Raging Bolt ex</t>
        </is>
      </c>
    </row>
    <row r="373">
      <c r="G373" s="7" t="inlineStr">
        <is>
          <t>Raichu</t>
        </is>
      </c>
    </row>
    <row r="374">
      <c r="G374" s="7" t="inlineStr">
        <is>
          <t>Ralts</t>
        </is>
      </c>
    </row>
    <row r="375">
      <c r="G375" s="7" t="inlineStr">
        <is>
          <t>Rayquaza VMAX</t>
        </is>
      </c>
    </row>
    <row r="376">
      <c r="G376" s="7" t="inlineStr">
        <is>
          <t>Relicanth</t>
        </is>
      </c>
    </row>
    <row r="377">
      <c r="G377" s="7" t="inlineStr">
        <is>
          <t>Reshiram ex</t>
        </is>
      </c>
    </row>
    <row r="378">
      <c r="G378" s="7" t="inlineStr">
        <is>
          <t>Reuniclus</t>
        </is>
      </c>
    </row>
    <row r="379">
      <c r="G379" s="7" t="inlineStr">
        <is>
          <t>Rillaboom VMAX</t>
        </is>
      </c>
    </row>
    <row r="380">
      <c r="G380" s="7" t="inlineStr">
        <is>
          <t>Riolu</t>
        </is>
      </c>
    </row>
    <row r="381">
      <c r="G381" s="7" t="inlineStr">
        <is>
          <t>Roaring Moon ex</t>
        </is>
      </c>
    </row>
    <row r="382">
      <c r="G382" s="7" t="inlineStr">
        <is>
          <t>Roggenrola</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Sandygast</t>
        </is>
      </c>
    </row>
    <row r="394">
      <c r="G394" s="7" t="inlineStr">
        <is>
          <t>Sawk</t>
        </is>
      </c>
    </row>
    <row r="395">
      <c r="G395" s="7" t="inlineStr">
        <is>
          <t>Sawsbuck</t>
        </is>
      </c>
    </row>
    <row r="396">
      <c r="G396" s="7" t="inlineStr">
        <is>
          <t>Scizor</t>
        </is>
      </c>
    </row>
    <row r="397">
      <c r="G397" s="7" t="inlineStr">
        <is>
          <t>Scolipede</t>
        </is>
      </c>
    </row>
    <row r="398">
      <c r="G398" s="7" t="inlineStr">
        <is>
          <t>Scrafty</t>
        </is>
      </c>
    </row>
    <row r="399">
      <c r="G399" s="7" t="inlineStr">
        <is>
          <t>Scraggy</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Shaymin</t>
        </is>
      </c>
    </row>
    <row r="407">
      <c r="G407" s="7" t="inlineStr">
        <is>
          <t>Shiftry</t>
        </is>
      </c>
    </row>
    <row r="408">
      <c r="G408" s="7" t="inlineStr">
        <is>
          <t>Shinx</t>
        </is>
      </c>
    </row>
    <row r="409">
      <c r="G409" s="7" t="inlineStr">
        <is>
          <t>Sigilyph</t>
        </is>
      </c>
    </row>
    <row r="410">
      <c r="G410" s="7" t="inlineStr">
        <is>
          <t>Simipour</t>
        </is>
      </c>
    </row>
    <row r="411">
      <c r="G411" s="7" t="inlineStr">
        <is>
          <t>Simisage</t>
        </is>
      </c>
    </row>
    <row r="412">
      <c r="G412" s="7" t="inlineStr">
        <is>
          <t>Simisear</t>
        </is>
      </c>
    </row>
    <row r="413">
      <c r="G413" s="7" t="inlineStr">
        <is>
          <t>Sinistcha ex</t>
        </is>
      </c>
    </row>
    <row r="414">
      <c r="G414" s="7" t="inlineStr">
        <is>
          <t>Skeledirge ex</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Swadloon</t>
        </is>
      </c>
    </row>
    <row r="434">
      <c r="G434" s="7" t="inlineStr">
        <is>
          <t>Swanna</t>
        </is>
      </c>
    </row>
    <row r="435">
      <c r="G435" s="7" t="inlineStr">
        <is>
          <t>Swoobat</t>
        </is>
      </c>
    </row>
    <row r="436">
      <c r="G436" s="7" t="inlineStr">
        <is>
          <t>Sylveon ex</t>
        </is>
      </c>
    </row>
    <row r="437">
      <c r="G437" s="7" t="inlineStr">
        <is>
          <t>Tandemaus</t>
        </is>
      </c>
    </row>
    <row r="438">
      <c r="G438" s="7" t="inlineStr">
        <is>
          <t>Tangela</t>
        </is>
      </c>
    </row>
    <row r="439">
      <c r="G439" s="7" t="inlineStr">
        <is>
          <t>Tapu Bulu</t>
        </is>
      </c>
    </row>
    <row r="440">
      <c r="G440" s="7" t="inlineStr">
        <is>
          <t>Tapu Koko ex</t>
        </is>
      </c>
    </row>
    <row r="441">
      <c r="G441" s="7" t="inlineStr">
        <is>
          <t>Tarountula</t>
        </is>
      </c>
    </row>
    <row r="442">
      <c r="G442" s="7" t="inlineStr">
        <is>
          <t>Tatsugiri</t>
        </is>
      </c>
    </row>
    <row r="443">
      <c r="G443" s="7" t="inlineStr">
        <is>
          <t>Teal Mask Ogerpon ex</t>
        </is>
      </c>
    </row>
    <row r="444">
      <c r="G444" s="7" t="inlineStr">
        <is>
          <t>Team Rocket's Ariana</t>
        </is>
      </c>
    </row>
    <row r="445">
      <c r="G445" s="7" t="inlineStr">
        <is>
          <t>Team Rocket's Crobat ex</t>
        </is>
      </c>
    </row>
    <row r="446">
      <c r="G446" s="7" t="inlineStr">
        <is>
          <t>Team Rocket's Giovanni</t>
        </is>
      </c>
    </row>
    <row r="447">
      <c r="G447" s="7" t="inlineStr">
        <is>
          <t>Team Rocket's Houndoom</t>
        </is>
      </c>
    </row>
    <row r="448">
      <c r="G448" s="7" t="inlineStr">
        <is>
          <t>Team Rocket's Meowth</t>
        </is>
      </c>
    </row>
    <row r="449">
      <c r="G449" s="7" t="inlineStr">
        <is>
          <t>Team Rocket's Mewtwo ex</t>
        </is>
      </c>
    </row>
    <row r="450">
      <c r="G450" s="7" t="inlineStr">
        <is>
          <t>Team Rocket's Mimikyu</t>
        </is>
      </c>
    </row>
    <row r="451">
      <c r="G451" s="7" t="inlineStr">
        <is>
          <t>Team Rocket's Moltres ex</t>
        </is>
      </c>
    </row>
    <row r="452">
      <c r="G452" s="7" t="inlineStr">
        <is>
          <t>Team Rocket's Nidoking ex</t>
        </is>
      </c>
    </row>
    <row r="453">
      <c r="G453" s="7" t="inlineStr">
        <is>
          <t>Tepig</t>
        </is>
      </c>
    </row>
    <row r="454">
      <c r="G454" s="7" t="inlineStr">
        <is>
          <t>Terapagos ex</t>
        </is>
      </c>
    </row>
    <row r="455">
      <c r="G455" s="7" t="inlineStr">
        <is>
          <t>Terrakion</t>
        </is>
      </c>
    </row>
    <row r="456">
      <c r="G456" s="7" t="inlineStr">
        <is>
          <t>Timburr</t>
        </is>
      </c>
    </row>
    <row r="457">
      <c r="G457" s="7" t="inlineStr">
        <is>
          <t>Tinkatink</t>
        </is>
      </c>
    </row>
    <row r="458">
      <c r="G458" s="7" t="inlineStr">
        <is>
          <t>Tinkaton ex</t>
        </is>
      </c>
    </row>
    <row r="459">
      <c r="G459" s="7" t="inlineStr">
        <is>
          <t>Tinkatuff</t>
        </is>
      </c>
    </row>
    <row r="460">
      <c r="G460" s="7" t="inlineStr">
        <is>
          <t>Tirtouga</t>
        </is>
      </c>
    </row>
    <row r="461">
      <c r="G461" s="7" t="inlineStr">
        <is>
          <t>Tornadus V</t>
        </is>
      </c>
    </row>
    <row r="462">
      <c r="G462" s="7" t="inlineStr">
        <is>
          <t>Toxtricity VMAX</t>
        </is>
      </c>
    </row>
    <row r="463">
      <c r="G463" s="7" t="inlineStr">
        <is>
          <t>Tropius</t>
        </is>
      </c>
    </row>
    <row r="464">
      <c r="G464" s="7" t="inlineStr">
        <is>
          <t>Trubbish</t>
        </is>
      </c>
    </row>
    <row r="465">
      <c r="G465" s="7" t="inlineStr">
        <is>
          <t>Tympole</t>
        </is>
      </c>
    </row>
    <row r="466">
      <c r="G466" s="7" t="inlineStr">
        <is>
          <t>Tynamo</t>
        </is>
      </c>
    </row>
    <row r="467">
      <c r="G467" s="7" t="inlineStr">
        <is>
          <t>Tyranitar</t>
        </is>
      </c>
    </row>
    <row r="468">
      <c r="G468" s="7" t="inlineStr">
        <is>
          <t>Umbreon ex</t>
        </is>
      </c>
    </row>
    <row r="469">
      <c r="G469" s="7" t="inlineStr">
        <is>
          <t>Unfair Stamp</t>
        </is>
      </c>
    </row>
    <row r="470">
      <c r="G470" s="7" t="inlineStr">
        <is>
          <t>Unfezant</t>
        </is>
      </c>
    </row>
    <row r="471">
      <c r="G471" s="7" t="inlineStr">
        <is>
          <t>Vanillish</t>
        </is>
      </c>
    </row>
    <row r="472">
      <c r="G472" s="7" t="inlineStr">
        <is>
          <t>Vanillite</t>
        </is>
      </c>
    </row>
    <row r="473">
      <c r="G473" s="7" t="inlineStr">
        <is>
          <t>Vanilluxe</t>
        </is>
      </c>
    </row>
    <row r="474">
      <c r="G474" s="7" t="inlineStr">
        <is>
          <t>Vaporeon ex</t>
        </is>
      </c>
    </row>
    <row r="475">
      <c r="G475" s="7" t="inlineStr">
        <is>
          <t>Venusaur ex</t>
        </is>
      </c>
    </row>
    <row r="476">
      <c r="G476" s="7" t="inlineStr">
        <is>
          <t>Victini</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30" customWidth="1" min="9" max="9"/>
    <col width="28" customWidth="1" min="10" max="10"/>
    <col width="13" customWidth="1" min="11" max="11"/>
    <col width="9" customWidth="1" min="12" max="12"/>
    <col width="30" customWidth="1" min="13" max="13"/>
    <col width="34" customWidth="1" min="14" max="14"/>
    <col width="24" customWidth="1" min="15" max="15"/>
    <col width="8" customWidth="1" min="16" max="16"/>
    <col width="24" customWidth="1" min="17" max="17"/>
    <col width="8" customWidth="1" min="18" max="18"/>
    <col width="24" customWidth="1" min="19" max="19"/>
    <col width="8" customWidth="1" min="20" max="20"/>
    <col width="24" customWidth="1" min="21" max="21"/>
    <col width="8"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Box / Series</t>
        </is>
      </c>
      <c r="J1" s="9" t="inlineStr">
        <is>
          <t>Opening Type</t>
        </is>
      </c>
      <c r="K1" s="8" t="inlineStr">
        <is>
          <t>Packs Opened</t>
        </is>
      </c>
      <c r="L1" s="9" t="inlineStr">
        <is>
          <t>Has Hit</t>
        </is>
      </c>
      <c r="M1" s="9" t="inlineStr">
        <is>
          <t>Hit Card</t>
        </is>
      </c>
      <c r="N1" s="9" t="inlineStr">
        <is>
          <t>Hit Rarity</t>
        </is>
      </c>
      <c r="O1" s="9" t="inlineStr">
        <is>
          <t>Set 2</t>
        </is>
      </c>
      <c r="P1" s="9" t="inlineStr">
        <is>
          <t>Packs 2</t>
        </is>
      </c>
      <c r="Q1" s="9" t="inlineStr">
        <is>
          <t>Set 3</t>
        </is>
      </c>
      <c r="R1" s="9" t="inlineStr">
        <is>
          <t>Packs 3</t>
        </is>
      </c>
      <c r="S1" s="9" t="inlineStr">
        <is>
          <t>Set 4</t>
        </is>
      </c>
      <c r="T1" s="9" t="inlineStr">
        <is>
          <t>Packs 4</t>
        </is>
      </c>
      <c r="U1" s="9" t="inlineStr">
        <is>
          <t>Set 5</t>
        </is>
      </c>
      <c r="V1" s="9" t="inlineStr">
        <is>
          <t>Packs 5</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767</v>
      </c>
      <c r="E2" s="11" t="inlineStr">
        <is>
          <t>0:19</t>
        </is>
      </c>
      <c r="F2" s="13">
        <f>HYPERLINK("https://youtu.be/E5Wz7X1VMeY","watch")</f>
        <v/>
      </c>
      <c r="G2" s="14" t="inlineStr">
        <is>
          <t>Pitch Black</t>
        </is>
      </c>
      <c r="H2" s="15" t="n">
        <v>1</v>
      </c>
      <c r="I2" s="15" t="n"/>
      <c r="J2" s="15" t="inlineStr">
        <is>
          <t>Single Booster Pack</t>
        </is>
      </c>
      <c r="K2" s="15">
        <f>SUM(H2,P2,R2,T2,V2)</f>
        <v/>
      </c>
      <c r="L2" s="15" t="inlineStr">
        <is>
          <t>Yes</t>
        </is>
      </c>
      <c r="M2" s="15" t="n"/>
      <c r="N2" s="15" t="n"/>
      <c r="O2" s="15" t="n"/>
      <c r="P2" s="15" t="n"/>
      <c r="Q2" s="15" t="n"/>
      <c r="R2" s="15" t="n"/>
      <c r="S2" s="15" t="n"/>
      <c r="T2" s="15" t="n"/>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930</v>
      </c>
      <c r="E3" s="11" t="inlineStr">
        <is>
          <t>0:21</t>
        </is>
      </c>
      <c r="F3" s="13">
        <f>HYPERLINK("https://youtu.be/T2-UqY2ZSOw","watch")</f>
        <v/>
      </c>
      <c r="G3" s="14" t="inlineStr">
        <is>
          <t>Chaos Rising</t>
        </is>
      </c>
      <c r="H3" s="15" t="n">
        <v>9</v>
      </c>
      <c r="I3" s="15" t="n"/>
      <c r="J3" s="15" t="inlineStr">
        <is>
          <t>ETB (Elite Trainer Box)</t>
        </is>
      </c>
      <c r="K3" s="15">
        <f>SUM(H3,P3,R3,T3,V3)</f>
        <v/>
      </c>
      <c r="L3" s="15" t="n"/>
      <c r="M3" s="15" t="n"/>
      <c r="N3" s="15" t="n"/>
      <c r="O3" s="15" t="n"/>
      <c r="P3" s="15" t="n"/>
      <c r="Q3" s="15" t="n"/>
      <c r="R3" s="15" t="n"/>
      <c r="S3" s="15" t="n"/>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724</v>
      </c>
      <c r="E4" s="11" t="inlineStr">
        <is>
          <t>0:20</t>
        </is>
      </c>
      <c r="F4" s="13">
        <f>HYPERLINK("https://youtu.be/O5WscUY7qZI","watch")</f>
        <v/>
      </c>
      <c r="G4" s="14" t="inlineStr">
        <is>
          <t>Chaos Rising</t>
        </is>
      </c>
      <c r="H4" s="15" t="n">
        <v>1</v>
      </c>
      <c r="I4" s="15" t="n"/>
      <c r="J4" s="15" t="inlineStr">
        <is>
          <t>Single Booster Pack</t>
        </is>
      </c>
      <c r="K4" s="15">
        <f>SUM(H4,P4,R4,T4,V4)</f>
        <v/>
      </c>
      <c r="L4" s="15" t="inlineStr">
        <is>
          <t>Yes</t>
        </is>
      </c>
      <c r="M4" s="15" t="n"/>
      <c r="N4" s="15" t="n"/>
      <c r="O4" s="15" t="n"/>
      <c r="P4" s="15" t="n"/>
      <c r="Q4" s="15" t="n"/>
      <c r="R4" s="15" t="n"/>
      <c r="S4" s="15" t="n"/>
      <c r="T4" s="15" t="n"/>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662</v>
      </c>
      <c r="E5" s="11" t="inlineStr">
        <is>
          <t>0:20</t>
        </is>
      </c>
      <c r="F5" s="13">
        <f>HYPERLINK("https://youtu.be/IQMn3DNCzik","watch")</f>
        <v/>
      </c>
      <c r="G5" s="14" t="inlineStr">
        <is>
          <t>Pitch Black</t>
        </is>
      </c>
      <c r="H5" s="15" t="n">
        <v>9</v>
      </c>
      <c r="I5" s="15" t="n"/>
      <c r="J5" s="15" t="inlineStr">
        <is>
          <t>ETB (Elite Trainer Box)</t>
        </is>
      </c>
      <c r="K5" s="15">
        <f>SUM(H5,P5,R5,T5,V5)</f>
        <v/>
      </c>
      <c r="L5" s="15" t="n"/>
      <c r="M5" s="15" t="n"/>
      <c r="N5" s="15" t="n"/>
      <c r="O5" s="15" t="n"/>
      <c r="P5" s="15" t="n"/>
      <c r="Q5" s="15" t="n"/>
      <c r="R5" s="15" t="n"/>
      <c r="S5" s="15" t="n"/>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inlineStr">
        <is>
          <t>Single Booster Pack</t>
        </is>
      </c>
      <c r="K6" s="15">
        <f>SUM(H6,P6,R6,T6,V6)</f>
        <v/>
      </c>
      <c r="L6" s="15" t="inlineStr">
        <is>
          <t>Yes</t>
        </is>
      </c>
      <c r="M6" s="15" t="n"/>
      <c r="N6" s="15" t="n"/>
      <c r="O6" s="15" t="n"/>
      <c r="P6" s="15" t="n"/>
      <c r="Q6" s="15" t="n"/>
      <c r="R6" s="15" t="n"/>
      <c r="S6" s="15" t="n"/>
      <c r="T6" s="15" t="n"/>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inlineStr">
        <is>
          <t>ETB (Elite Trainer Box)</t>
        </is>
      </c>
      <c r="K7" s="15">
        <f>SUM(H7,P7,R7,T7,V7)</f>
        <v/>
      </c>
      <c r="L7" s="15" t="n"/>
      <c r="M7" s="15" t="n"/>
      <c r="N7" s="15" t="n"/>
      <c r="O7" s="15" t="n"/>
      <c r="P7" s="15" t="n"/>
      <c r="Q7" s="15" t="n"/>
      <c r="R7" s="15" t="n"/>
      <c r="S7" s="15" t="n"/>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inlineStr">
        <is>
          <t>ETB (Elite Trainer Box)</t>
        </is>
      </c>
      <c r="K8" s="15">
        <f>SUM(H8,P8,R8,T8,V8)</f>
        <v/>
      </c>
      <c r="L8" s="15" t="n"/>
      <c r="M8" s="15" t="n"/>
      <c r="N8" s="15" t="n"/>
      <c r="O8" s="15" t="n"/>
      <c r="P8" s="15" t="n"/>
      <c r="Q8" s="15" t="n"/>
      <c r="R8" s="15" t="n"/>
      <c r="S8" s="15" t="n"/>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inlineStr">
        <is>
          <t>Booster Bundle</t>
        </is>
      </c>
      <c r="K9" s="15">
        <f>SUM(H9,P9,R9,T9,V9)</f>
        <v/>
      </c>
      <c r="L9" s="15" t="inlineStr">
        <is>
          <t>Yes</t>
        </is>
      </c>
      <c r="M9" s="15" t="n"/>
      <c r="N9" s="15" t="n"/>
      <c r="O9" s="15" t="n"/>
      <c r="P9" s="15" t="n"/>
      <c r="Q9" s="15" t="n"/>
      <c r="R9" s="15" t="n"/>
      <c r="S9" s="15" t="n"/>
      <c r="T9" s="15" t="n"/>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inlineStr">
        <is>
          <t>Single Booster Pack</t>
        </is>
      </c>
      <c r="K10" s="15">
        <f>SUM(H10,P10,R10,T10,V10)</f>
        <v/>
      </c>
      <c r="L10" s="15" t="inlineStr">
        <is>
          <t>Yes</t>
        </is>
      </c>
      <c r="M10" s="15" t="n"/>
      <c r="N10" s="15" t="n"/>
      <c r="O10" s="15" t="n"/>
      <c r="P10" s="15" t="n"/>
      <c r="Q10" s="15" t="n"/>
      <c r="R10" s="15" t="n"/>
      <c r="S10" s="15" t="n"/>
      <c r="T10" s="15" t="n"/>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inlineStr">
        <is>
          <t>ex Premium Collection</t>
        </is>
      </c>
      <c r="K11" s="15">
        <f>SUM(H11,P11,R11,T11,V11)</f>
        <v/>
      </c>
      <c r="L11" s="15" t="n"/>
      <c r="M11" s="15" t="n"/>
      <c r="N11" s="15" t="n"/>
      <c r="O11" s="15" t="n"/>
      <c r="P11" s="15" t="n"/>
      <c r="Q11" s="15" t="n"/>
      <c r="R11" s="15" t="n"/>
      <c r="S11" s="15" t="n"/>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inlineStr">
        <is>
          <t>ETB (Elite Trainer Box)</t>
        </is>
      </c>
      <c r="K12" s="15">
        <f>SUM(H12,P12,R12,T12,V12)</f>
        <v/>
      </c>
      <c r="L12" s="15" t="inlineStr">
        <is>
          <t>Yes</t>
        </is>
      </c>
      <c r="M12" s="15" t="n"/>
      <c r="N12" s="15" t="n"/>
      <c r="O12" s="15" t="n"/>
      <c r="P12" s="15" t="n"/>
      <c r="Q12" s="15" t="n"/>
      <c r="R12" s="15" t="n"/>
      <c r="S12" s="15" t="n"/>
      <c r="T12" s="15" t="n"/>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inlineStr">
        <is>
          <t>Booster Bundle</t>
        </is>
      </c>
      <c r="K13" s="15">
        <f>SUM(H13,P13,R13,T13,V13)</f>
        <v/>
      </c>
      <c r="L13" s="15" t="inlineStr">
        <is>
          <t>Yes</t>
        </is>
      </c>
      <c r="M13" s="15" t="n"/>
      <c r="N13" s="15" t="n"/>
      <c r="O13" s="15" t="n"/>
      <c r="P13" s="15" t="n"/>
      <c r="Q13" s="15" t="n"/>
      <c r="R13" s="15" t="n"/>
      <c r="S13" s="15" t="n"/>
      <c r="T13" s="15" t="n"/>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inlineStr">
        <is>
          <t>Single Booster Pack</t>
        </is>
      </c>
      <c r="K14" s="15">
        <f>SUM(H14,P14,R14,T14,V14)</f>
        <v/>
      </c>
      <c r="L14" s="15" t="inlineStr">
        <is>
          <t>Yes</t>
        </is>
      </c>
      <c r="M14" s="15" t="n"/>
      <c r="N14" s="15" t="n"/>
      <c r="O14" s="15" t="n"/>
      <c r="P14" s="15" t="n"/>
      <c r="Q14" s="15" t="n"/>
      <c r="R14" s="15" t="n"/>
      <c r="S14" s="15" t="n"/>
      <c r="T14" s="15" t="n"/>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inlineStr">
        <is>
          <t>ex Premium Collection</t>
        </is>
      </c>
      <c r="K15" s="15">
        <f>SUM(H15,P15,R15,T15,V15)</f>
        <v/>
      </c>
      <c r="L15" s="15" t="inlineStr">
        <is>
          <t>Yes</t>
        </is>
      </c>
      <c r="M15" s="15" t="n"/>
      <c r="N15" s="15" t="n"/>
      <c r="O15" s="15" t="n"/>
      <c r="P15" s="15" t="n"/>
      <c r="Q15" s="15" t="n"/>
      <c r="R15" s="15" t="n"/>
      <c r="S15" s="15" t="n"/>
      <c r="T15" s="15" t="n"/>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889</v>
      </c>
      <c r="E16" s="11" t="inlineStr">
        <is>
          <t>0:24</t>
        </is>
      </c>
      <c r="F16" s="13">
        <f>HYPERLINK("https://youtu.be/ndzNjhARITQ","watch")</f>
        <v/>
      </c>
      <c r="G16" s="14" t="inlineStr">
        <is>
          <t>Pitch Black</t>
        </is>
      </c>
      <c r="H16" s="15" t="n">
        <v>9</v>
      </c>
      <c r="I16" s="15" t="n"/>
      <c r="J16" s="15" t="inlineStr">
        <is>
          <t>ETB (Elite Trainer Box)</t>
        </is>
      </c>
      <c r="K16" s="15">
        <f>SUM(H16,P16,R16,T16,V16)</f>
        <v/>
      </c>
      <c r="L16" s="15" t="inlineStr">
        <is>
          <t>Yes</t>
        </is>
      </c>
      <c r="M16" s="15" t="n"/>
      <c r="N16" s="15" t="n"/>
      <c r="O16" s="15" t="n"/>
      <c r="P16" s="15" t="n"/>
      <c r="Q16" s="15" t="n"/>
      <c r="R16" s="15" t="n"/>
      <c r="S16" s="15" t="n"/>
      <c r="T16" s="15" t="n"/>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767</v>
      </c>
      <c r="E17" s="11" t="inlineStr">
        <is>
          <t>0:22</t>
        </is>
      </c>
      <c r="F17" s="13">
        <f>HYPERLINK("https://youtu.be/fY-u0pxphVo","watch")</f>
        <v/>
      </c>
      <c r="G17" s="14" t="inlineStr">
        <is>
          <t>Pitch Black</t>
        </is>
      </c>
      <c r="H17" s="15" t="n">
        <v>6</v>
      </c>
      <c r="I17" s="15" t="n"/>
      <c r="J17" s="15" t="inlineStr">
        <is>
          <t>Booster Bundle</t>
        </is>
      </c>
      <c r="K17" s="15">
        <f>SUM(H17,P17,R17,T17,V17)</f>
        <v/>
      </c>
      <c r="L17" s="15" t="n"/>
      <c r="M17" s="15" t="n"/>
      <c r="N17" s="15" t="n"/>
      <c r="O17" s="15" t="n"/>
      <c r="P17" s="15" t="n"/>
      <c r="Q17" s="15" t="n"/>
      <c r="R17" s="15" t="n"/>
      <c r="S17" s="15" t="n"/>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inlineStr">
        <is>
          <t>Single Booster Pack</t>
        </is>
      </c>
      <c r="K18" s="15">
        <f>SUM(H18,P18,R18,T18,V18)</f>
        <v/>
      </c>
      <c r="L18" s="15" t="inlineStr">
        <is>
          <t>Yes</t>
        </is>
      </c>
      <c r="M18" s="15" t="n"/>
      <c r="N18" s="15" t="n"/>
      <c r="O18" s="15" t="n"/>
      <c r="P18" s="15" t="n"/>
      <c r="Q18" s="15" t="n"/>
      <c r="R18" s="15" t="n"/>
      <c r="S18" s="15" t="n"/>
      <c r="T18" s="15" t="n"/>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inlineStr">
        <is>
          <t>ex Premium Collection</t>
        </is>
      </c>
      <c r="K19" s="15">
        <f>SUM(H19,P19,R19,T19,V19)</f>
        <v/>
      </c>
      <c r="L19" s="15" t="inlineStr">
        <is>
          <t>Yes</t>
        </is>
      </c>
      <c r="M19" s="15" t="n"/>
      <c r="N19" s="15" t="n"/>
      <c r="O19" s="15" t="n"/>
      <c r="P19" s="15" t="n"/>
      <c r="Q19" s="15" t="n"/>
      <c r="R19" s="15" t="n"/>
      <c r="S19" s="15" t="n"/>
      <c r="T19" s="15" t="n"/>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inlineStr">
        <is>
          <t>ex Premium Collection</t>
        </is>
      </c>
      <c r="K20" s="15">
        <f>SUM(H20,P20,R20,T20,V20)</f>
        <v/>
      </c>
      <c r="L20" s="15" t="inlineStr">
        <is>
          <t>Yes</t>
        </is>
      </c>
      <c r="M20" s="15" t="n"/>
      <c r="N20" s="15" t="n"/>
      <c r="O20" s="15" t="n"/>
      <c r="P20" s="15" t="n"/>
      <c r="Q20" s="15" t="n"/>
      <c r="R20" s="15" t="n"/>
      <c r="S20" s="15" t="n"/>
      <c r="T20" s="15" t="n"/>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inlineStr">
        <is>
          <t>Tin</t>
        </is>
      </c>
      <c r="K21" s="15">
        <f>SUM(H21,P21,R21,T21,V21)</f>
        <v/>
      </c>
      <c r="L21" s="15" t="n"/>
      <c r="M21" s="15" t="n"/>
      <c r="N21" s="15" t="n"/>
      <c r="O21" s="15" t="n"/>
      <c r="P21" s="15" t="n"/>
      <c r="Q21" s="15" t="n"/>
      <c r="R21" s="15" t="n"/>
      <c r="S21" s="15" t="n"/>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inlineStr">
        <is>
          <t>Booster Bundle</t>
        </is>
      </c>
      <c r="K22" s="15">
        <f>SUM(H22,P22,R22,T22,V22)</f>
        <v/>
      </c>
      <c r="L22" s="15" t="inlineStr">
        <is>
          <t>Yes</t>
        </is>
      </c>
      <c r="M22" s="15" t="n"/>
      <c r="N22" s="15" t="n"/>
      <c r="O22" s="15" t="n"/>
      <c r="P22" s="15" t="n"/>
      <c r="Q22" s="15" t="n"/>
      <c r="R22" s="15" t="n"/>
      <c r="S22" s="15" t="n"/>
      <c r="T22" s="15" t="n"/>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inlineStr">
        <is>
          <t>ETB (Elite Trainer Box)</t>
        </is>
      </c>
      <c r="K23" s="15">
        <f>SUM(H23,P23,R23,T23,V23)</f>
        <v/>
      </c>
      <c r="L23" s="15" t="n"/>
      <c r="M23" s="15" t="n"/>
      <c r="N23" s="15" t="n"/>
      <c r="O23" s="15" t="n"/>
      <c r="P23" s="15" t="n"/>
      <c r="Q23" s="15" t="n"/>
      <c r="R23" s="15" t="n"/>
      <c r="S23" s="15" t="n"/>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inlineStr">
        <is>
          <t>Single Booster Pack</t>
        </is>
      </c>
      <c r="K24" s="15">
        <f>SUM(H24,P24,R24,T24,V24)</f>
        <v/>
      </c>
      <c r="L24" s="15" t="inlineStr">
        <is>
          <t>Yes</t>
        </is>
      </c>
      <c r="M24" s="15" t="n"/>
      <c r="N24" s="15" t="n"/>
      <c r="O24" s="15" t="n"/>
      <c r="P24" s="15" t="n"/>
      <c r="Q24" s="15" t="n"/>
      <c r="R24" s="15" t="n"/>
      <c r="S24" s="15" t="n"/>
      <c r="T24" s="15" t="n"/>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inlineStr">
        <is>
          <t>ex Premium Collection</t>
        </is>
      </c>
      <c r="K25" s="15">
        <f>SUM(H25,P25,R25,T25,V25)</f>
        <v/>
      </c>
      <c r="L25" s="15" t="inlineStr">
        <is>
          <t>Yes</t>
        </is>
      </c>
      <c r="M25" s="15" t="n"/>
      <c r="N25" s="15" t="n"/>
      <c r="O25" s="15" t="n"/>
      <c r="P25" s="15" t="n"/>
      <c r="Q25" s="15" t="n"/>
      <c r="R25" s="15" t="n"/>
      <c r="S25" s="15" t="n"/>
      <c r="T25" s="15" t="n"/>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5" t="n"/>
      <c r="J26" s="15" t="inlineStr">
        <is>
          <t>Tin</t>
        </is>
      </c>
      <c r="K26" s="15">
        <f>SUM(H26,P26,R26,T26,V26)</f>
        <v/>
      </c>
      <c r="L26" s="15" t="n"/>
      <c r="M26" s="15" t="n"/>
      <c r="N26" s="15" t="n"/>
      <c r="O26" s="14" t="inlineStr">
        <is>
          <t>Chaos Rising</t>
        </is>
      </c>
      <c r="P26" s="15" t="n"/>
      <c r="Q26" s="15" t="n"/>
      <c r="R26" s="15" t="n"/>
      <c r="S26" s="15" t="n"/>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inlineStr">
        <is>
          <t>ex Premium Collection</t>
        </is>
      </c>
      <c r="K27" s="15">
        <f>SUM(H27,P27,R27,T27,V27)</f>
        <v/>
      </c>
      <c r="L27" s="15" t="n"/>
      <c r="M27" s="15" t="n"/>
      <c r="N27" s="15" t="n"/>
      <c r="O27" s="15" t="n"/>
      <c r="P27" s="15" t="n"/>
      <c r="Q27" s="15" t="n"/>
      <c r="R27" s="15" t="n"/>
      <c r="S27" s="15" t="n"/>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inlineStr">
        <is>
          <t>ETB (Elite Trainer Box)</t>
        </is>
      </c>
      <c r="K28" s="15">
        <f>SUM(H28,P28,R28,T28,V28)</f>
        <v/>
      </c>
      <c r="L28" s="15" t="inlineStr">
        <is>
          <t>Yes</t>
        </is>
      </c>
      <c r="M28" s="15" t="n"/>
      <c r="N28" s="15" t="n"/>
      <c r="O28" s="15" t="n"/>
      <c r="P28" s="15" t="n"/>
      <c r="Q28" s="15" t="n"/>
      <c r="R28" s="15" t="n"/>
      <c r="S28" s="15" t="n"/>
      <c r="T28" s="15" t="n"/>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inlineStr">
        <is>
          <t>ETB (Elite Trainer Box)</t>
        </is>
      </c>
      <c r="K29" s="15">
        <f>SUM(H29,P29,R29,T29,V29)</f>
        <v/>
      </c>
      <c r="L29" s="15" t="n"/>
      <c r="M29" s="15" t="n"/>
      <c r="N29" s="15" t="n"/>
      <c r="O29" s="15" t="n"/>
      <c r="P29" s="15" t="n"/>
      <c r="Q29" s="15" t="n"/>
      <c r="R29" s="15" t="n"/>
      <c r="S29" s="15" t="n"/>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inlineStr">
        <is>
          <t>Booster Bundle</t>
        </is>
      </c>
      <c r="K30" s="15">
        <f>SUM(H30,P30,R30,T30,V30)</f>
        <v/>
      </c>
      <c r="L30" s="15" t="n"/>
      <c r="M30" s="15" t="n"/>
      <c r="N30" s="15" t="n"/>
      <c r="O30" s="15" t="n"/>
      <c r="P30" s="15" t="n"/>
      <c r="Q30" s="15" t="n"/>
      <c r="R30" s="15" t="n"/>
      <c r="S30" s="15" t="n"/>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5" t="n"/>
      <c r="J31" s="15" t="inlineStr">
        <is>
          <t>ex Premium Collection</t>
        </is>
      </c>
      <c r="K31" s="15">
        <f>SUM(H31,P31,R31,T31,V31)</f>
        <v/>
      </c>
      <c r="L31" s="15" t="inlineStr">
        <is>
          <t>Yes</t>
        </is>
      </c>
      <c r="M31" s="15" t="n"/>
      <c r="N31" s="15" t="n"/>
      <c r="O31" s="14" t="inlineStr">
        <is>
          <t>Perfect Order</t>
        </is>
      </c>
      <c r="P31" s="15" t="n"/>
      <c r="Q31" s="15" t="n"/>
      <c r="R31" s="15" t="n"/>
      <c r="S31" s="15" t="n"/>
      <c r="T31" s="15" t="n"/>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inlineStr">
        <is>
          <t>Poke Ball Tin</t>
        </is>
      </c>
      <c r="K32" s="15">
        <f>SUM(H32,P32,R32,T32,V32)</f>
        <v/>
      </c>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inlineStr">
        <is>
          <t>ex Premium Collection</t>
        </is>
      </c>
      <c r="K33" s="15">
        <f>SUM(H33,P33,R33,T33,V33)</f>
        <v/>
      </c>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inlineStr">
        <is>
          <t>ETB (Elite Trainer Box)</t>
        </is>
      </c>
      <c r="K34" s="15">
        <f>SUM(H34,P34,R34,T34,V34)</f>
        <v/>
      </c>
      <c r="L34" s="15" t="inlineStr">
        <is>
          <t>Yes</t>
        </is>
      </c>
      <c r="M34" s="15" t="n"/>
      <c r="N34" s="15" t="n"/>
      <c r="O34" s="15" t="n"/>
      <c r="P34" s="15" t="n"/>
      <c r="Q34" s="15" t="n"/>
      <c r="R34" s="15" t="n"/>
      <c r="S34" s="15" t="n"/>
      <c r="T34" s="15" t="n"/>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inlineStr">
        <is>
          <t>Booster Bundle</t>
        </is>
      </c>
      <c r="K35" s="15">
        <f>SUM(H35,P35,R35,T35,V35)</f>
        <v/>
      </c>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inlineStr">
        <is>
          <t>ex Premium Collection</t>
        </is>
      </c>
      <c r="K36" s="15">
        <f>SUM(H36,P36,R36,T36,V36)</f>
        <v/>
      </c>
      <c r="L36" s="15" t="inlineStr">
        <is>
          <t>Yes</t>
        </is>
      </c>
      <c r="M36" s="15" t="n"/>
      <c r="N36" s="15" t="n"/>
      <c r="O36" s="15" t="n"/>
      <c r="P36" s="15" t="n"/>
      <c r="Q36" s="15" t="n"/>
      <c r="R36" s="15" t="n"/>
      <c r="S36" s="15" t="n"/>
      <c r="T36" s="15" t="n"/>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625</v>
      </c>
      <c r="E37" s="11" t="inlineStr">
        <is>
          <t>0:23</t>
        </is>
      </c>
      <c r="F37" s="13">
        <f>HYPERLINK("https://youtu.be/GTC45Mri_gc","watch")</f>
        <v/>
      </c>
      <c r="G37" s="14" t="inlineStr">
        <is>
          <t>Pitch Black</t>
        </is>
      </c>
      <c r="H37" s="15" t="n">
        <v>1</v>
      </c>
      <c r="I37" s="15" t="n"/>
      <c r="J37" s="15" t="inlineStr">
        <is>
          <t>Single Booster Pack</t>
        </is>
      </c>
      <c r="K37" s="15">
        <f>SUM(H37,P37,R37,T37,V37)</f>
        <v/>
      </c>
      <c r="L37" s="15" t="inlineStr">
        <is>
          <t>Yes</t>
        </is>
      </c>
      <c r="M37" s="15" t="n"/>
      <c r="N37" s="15" t="n"/>
      <c r="O37" s="15" t="n"/>
      <c r="P37" s="15" t="n"/>
      <c r="Q37" s="15" t="n"/>
      <c r="R37" s="15" t="n"/>
      <c r="S37" s="15" t="n"/>
      <c r="T37" s="15" t="n"/>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5" t="n"/>
      <c r="J38" s="15" t="inlineStr">
        <is>
          <t>Poke Ball Tin</t>
        </is>
      </c>
      <c r="K38" s="15">
        <f>SUM(H38,P38,R38,T38,V38)</f>
        <v/>
      </c>
      <c r="L38" s="15" t="n"/>
      <c r="M38" s="15" t="n"/>
      <c r="N38" s="15" t="n"/>
      <c r="O38" s="14" t="inlineStr">
        <is>
          <t>Twilight Masquerade</t>
        </is>
      </c>
      <c r="P38" s="15" t="n"/>
      <c r="Q38" s="15" t="n"/>
      <c r="R38" s="15" t="n"/>
      <c r="S38" s="15" t="n"/>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inlineStr">
        <is>
          <t>ex Premium Collection</t>
        </is>
      </c>
      <c r="K39" s="15">
        <f>SUM(H39,P39,R39,T39,V39)</f>
        <v/>
      </c>
      <c r="L39" s="15" t="inlineStr">
        <is>
          <t>Yes</t>
        </is>
      </c>
      <c r="M39" s="15" t="n"/>
      <c r="N39" s="15" t="n"/>
      <c r="O39" s="15" t="n"/>
      <c r="P39" s="15" t="n"/>
      <c r="Q39" s="15" t="n"/>
      <c r="R39" s="15" t="n"/>
      <c r="S39" s="15" t="n"/>
      <c r="T39" s="15" t="n"/>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922</v>
      </c>
      <c r="E40" s="11" t="inlineStr">
        <is>
          <t>0:22</t>
        </is>
      </c>
      <c r="F40" s="13">
        <f>HYPERLINK("https://youtu.be/pRkDVGXWufQ","watch")</f>
        <v/>
      </c>
      <c r="G40" s="14" t="inlineStr">
        <is>
          <t>Chaos Rising</t>
        </is>
      </c>
      <c r="H40" s="15" t="n"/>
      <c r="I40" s="15" t="n"/>
      <c r="J40" s="15" t="inlineStr">
        <is>
          <t>ex Premium Collection</t>
        </is>
      </c>
      <c r="K40" s="15">
        <f>SUM(H40,P40,R40,T40,V40)</f>
        <v/>
      </c>
      <c r="L40" s="15" t="inlineStr">
        <is>
          <t>Yes</t>
        </is>
      </c>
      <c r="M40" s="15" t="n"/>
      <c r="N40" s="15" t="n"/>
      <c r="O40" s="15" t="n"/>
      <c r="P40" s="15" t="n"/>
      <c r="Q40" s="15" t="n"/>
      <c r="R40" s="15" t="n"/>
      <c r="S40" s="15" t="n"/>
      <c r="T40" s="15" t="n"/>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inlineStr">
        <is>
          <t>ex Premium Collection</t>
        </is>
      </c>
      <c r="K41" s="15">
        <f>SUM(H41,P41,R41,T41,V41)</f>
        <v/>
      </c>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inlineStr">
        <is>
          <t>ex Premium Collection</t>
        </is>
      </c>
      <c r="K42" s="15">
        <f>SUM(H42,P42,R42,T42,V42)</f>
        <v/>
      </c>
      <c r="L42" s="15" t="inlineStr">
        <is>
          <t>Yes</t>
        </is>
      </c>
      <c r="M42" s="15" t="n"/>
      <c r="N42" s="15" t="n"/>
      <c r="O42" s="15" t="n"/>
      <c r="P42" s="15" t="n"/>
      <c r="Q42" s="15" t="n"/>
      <c r="R42" s="15" t="n"/>
      <c r="S42" s="15" t="n"/>
      <c r="T42" s="15" t="n"/>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inlineStr">
        <is>
          <t>Poke Ball Tin</t>
        </is>
      </c>
      <c r="K43" s="15">
        <f>SUM(H43,P43,R43,T43,V43)</f>
        <v/>
      </c>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inlineStr">
        <is>
          <t>ex Premium Collection</t>
        </is>
      </c>
      <c r="K44" s="15">
        <f>SUM(H44,P44,R44,T44,V44)</f>
        <v/>
      </c>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859</v>
      </c>
      <c r="E45" s="11" t="inlineStr">
        <is>
          <t>0:24</t>
        </is>
      </c>
      <c r="F45" s="13">
        <f>HYPERLINK("https://youtu.be/RP08BTumj2U","watch")</f>
        <v/>
      </c>
      <c r="G45" s="14" t="inlineStr">
        <is>
          <t>Chaos Rising</t>
        </is>
      </c>
      <c r="H45" s="15" t="n"/>
      <c r="I45" s="15" t="n"/>
      <c r="J45" s="15" t="inlineStr">
        <is>
          <t>ex Premium Collection</t>
        </is>
      </c>
      <c r="K45" s="15">
        <f>SUM(H45,P45,R45,T45,V45)</f>
        <v/>
      </c>
      <c r="L45" s="15" t="inlineStr">
        <is>
          <t>Yes</t>
        </is>
      </c>
      <c r="M45" s="15" t="n"/>
      <c r="N45" s="15" t="n"/>
      <c r="O45" s="15" t="n"/>
      <c r="P45" s="15" t="n"/>
      <c r="Q45" s="15" t="n"/>
      <c r="R45" s="15" t="n"/>
      <c r="S45" s="15" t="n"/>
      <c r="T45" s="15" t="n"/>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inlineStr">
        <is>
          <t>ex Premium Collection</t>
        </is>
      </c>
      <c r="K46" s="15">
        <f>SUM(H46,P46,R46,T46,V46)</f>
        <v/>
      </c>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inlineStr">
        <is>
          <t>ex Premium Collection</t>
        </is>
      </c>
      <c r="K47" s="15">
        <f>SUM(H47,P47,R47,T47,V47)</f>
        <v/>
      </c>
      <c r="L47" s="15" t="inlineStr">
        <is>
          <t>Yes</t>
        </is>
      </c>
      <c r="M47" s="15" t="n"/>
      <c r="N47" s="15" t="n"/>
      <c r="O47" s="15" t="n"/>
      <c r="P47" s="15" t="n"/>
      <c r="Q47" s="15" t="n"/>
      <c r="R47" s="15" t="n"/>
      <c r="S47" s="15" t="n"/>
      <c r="T47" s="15" t="n"/>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inlineStr">
        <is>
          <t>ex Premium Collection</t>
        </is>
      </c>
      <c r="K48" s="15">
        <f>SUM(H48,P48,R48,T48,V48)</f>
        <v/>
      </c>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5" t="n"/>
      <c r="J49" s="15" t="inlineStr">
        <is>
          <t>ex Premium Collection</t>
        </is>
      </c>
      <c r="K49" s="15">
        <f>SUM(H49,P49,R49,T49,V49)</f>
        <v/>
      </c>
      <c r="L49" s="15" t="inlineStr">
        <is>
          <t>Yes</t>
        </is>
      </c>
      <c r="M49" s="15" t="n"/>
      <c r="N49" s="15" t="n"/>
      <c r="O49" s="14" t="inlineStr">
        <is>
          <t>Perfect Order</t>
        </is>
      </c>
      <c r="P49" s="15" t="n"/>
      <c r="Q49" s="15" t="n"/>
      <c r="R49" s="15" t="n"/>
      <c r="S49" s="15" t="n"/>
      <c r="T49" s="15" t="n"/>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inlineStr">
        <is>
          <t>ex Premium Collection</t>
        </is>
      </c>
      <c r="K50" s="15">
        <f>SUM(H50,P50,R50,T50,V50)</f>
        <v/>
      </c>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inlineStr">
        <is>
          <t>ETB (Elite Trainer Box)</t>
        </is>
      </c>
      <c r="K51" s="15">
        <f>SUM(H51,P51,R51,T51,V51)</f>
        <v/>
      </c>
      <c r="L51" s="15" t="inlineStr">
        <is>
          <t>Yes</t>
        </is>
      </c>
      <c r="M51" s="15" t="n"/>
      <c r="N51" s="15" t="n"/>
      <c r="O51" s="15" t="n"/>
      <c r="P51" s="15" t="n"/>
      <c r="Q51" s="15" t="n"/>
      <c r="R51" s="15" t="n"/>
      <c r="S51" s="15" t="n"/>
      <c r="T51" s="15" t="n"/>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inlineStr">
        <is>
          <t>ETB (Elite Trainer Box)</t>
        </is>
      </c>
      <c r="K52" s="15">
        <f>SUM(H52,P52,R52,T52,V52)</f>
        <v/>
      </c>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inlineStr">
        <is>
          <t>ex Premium Collection</t>
        </is>
      </c>
      <c r="K53" s="15">
        <f>SUM(H53,P53,R53,T53,V53)</f>
        <v/>
      </c>
      <c r="L53" s="15" t="inlineStr">
        <is>
          <t>Yes</t>
        </is>
      </c>
      <c r="M53" s="15" t="n"/>
      <c r="N53" s="15" t="n"/>
      <c r="O53" s="15" t="n"/>
      <c r="P53" s="15" t="n"/>
      <c r="Q53" s="15" t="n"/>
      <c r="R53" s="15" t="n"/>
      <c r="S53" s="15" t="n"/>
      <c r="T53" s="15" t="n"/>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inlineStr">
        <is>
          <t>ETB (Elite Trainer Box)</t>
        </is>
      </c>
      <c r="K54" s="15">
        <f>SUM(H54,P54,R54,T54,V54)</f>
        <v/>
      </c>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inlineStr">
        <is>
          <t>ex Premium Collection</t>
        </is>
      </c>
      <c r="K55" s="15">
        <f>SUM(H55,P55,R55,T55,V55)</f>
        <v/>
      </c>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inlineStr">
        <is>
          <t>ETB (Elite Trainer Box)</t>
        </is>
      </c>
      <c r="K56" s="15">
        <f>SUM(H56,P56,R56,T56,V56)</f>
        <v/>
      </c>
      <c r="L56" s="15" t="n"/>
      <c r="M56" s="15" t="n"/>
      <c r="N56" s="15" t="n"/>
      <c r="O56" s="15" t="n"/>
      <c r="P56" s="15" t="n"/>
      <c r="Q56" s="15" t="n"/>
      <c r="R56" s="15" t="n"/>
      <c r="S56" s="15" t="n"/>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inlineStr">
        <is>
          <t>ex Premium Collection</t>
        </is>
      </c>
      <c r="K57" s="15">
        <f>SUM(H57,P57,R57,T57,V57)</f>
        <v/>
      </c>
      <c r="L57" s="15" t="n"/>
      <c r="M57" s="15" t="n"/>
      <c r="N57" s="15" t="n"/>
      <c r="O57" s="15" t="n"/>
      <c r="P57" s="15" t="n"/>
      <c r="Q57" s="15" t="n"/>
      <c r="R57" s="15" t="n"/>
      <c r="S57" s="15" t="n"/>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inlineStr">
        <is>
          <t>ETB (Elite Trainer Box)</t>
        </is>
      </c>
      <c r="K58" s="15">
        <f>SUM(H58,P58,R58,T58,V58)</f>
        <v/>
      </c>
      <c r="L58" s="15" t="n"/>
      <c r="M58" s="15" t="n"/>
      <c r="N58" s="15" t="n"/>
      <c r="O58" s="15" t="n"/>
      <c r="P58" s="15" t="n"/>
      <c r="Q58" s="15" t="n"/>
      <c r="R58" s="15" t="n"/>
      <c r="S58" s="15" t="n"/>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inlineStr">
        <is>
          <t>ex Premium Collection</t>
        </is>
      </c>
      <c r="K59" s="15">
        <f>SUM(H59,P59,R59,T59,V59)</f>
        <v/>
      </c>
      <c r="L59" s="15" t="n"/>
      <c r="M59" s="15" t="n"/>
      <c r="N59" s="15" t="n"/>
      <c r="O59" s="15" t="n"/>
      <c r="P59" s="15" t="n"/>
      <c r="Q59" s="15" t="n"/>
      <c r="R59" s="15" t="n"/>
      <c r="S59" s="15" t="n"/>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inlineStr">
        <is>
          <t>ETB (Elite Trainer Box)</t>
        </is>
      </c>
      <c r="K60" s="15">
        <f>SUM(H60,P60,R60,T60,V60)</f>
        <v/>
      </c>
      <c r="L60" s="15" t="inlineStr">
        <is>
          <t>Yes</t>
        </is>
      </c>
      <c r="M60" s="15" t="n"/>
      <c r="N60" s="15" t="n"/>
      <c r="O60" s="15" t="n"/>
      <c r="P60" s="15" t="n"/>
      <c r="Q60" s="15" t="n"/>
      <c r="R60" s="15" t="n"/>
      <c r="S60" s="15" t="n"/>
      <c r="T60" s="15" t="n"/>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inlineStr">
        <is>
          <t>Poke Ball Tin</t>
        </is>
      </c>
      <c r="K61" s="15">
        <f>SUM(H61,P61,R61,T61,V61)</f>
        <v/>
      </c>
      <c r="L61" s="15" t="n"/>
      <c r="M61" s="15" t="n"/>
      <c r="N61" s="15" t="n"/>
      <c r="O61" s="15" t="n"/>
      <c r="P61" s="15" t="n"/>
      <c r="Q61" s="15" t="n"/>
      <c r="R61" s="15" t="n"/>
      <c r="S61" s="15" t="n"/>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inlineStr">
        <is>
          <t>Collection Box</t>
        </is>
      </c>
      <c r="K62" s="15">
        <f>SUM(H62,P62,R62,T62,V62)</f>
        <v/>
      </c>
      <c r="L62" s="15" t="n"/>
      <c r="M62" s="15" t="n"/>
      <c r="N62" s="15" t="n"/>
      <c r="O62" s="15" t="n"/>
      <c r="P62" s="15" t="n"/>
      <c r="Q62" s="15" t="n"/>
      <c r="R62" s="15" t="n"/>
      <c r="S62" s="15" t="n"/>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inlineStr">
        <is>
          <t>Poke Ball Tin</t>
        </is>
      </c>
      <c r="K63" s="15">
        <f>SUM(H63,P63,R63,T63,V63)</f>
        <v/>
      </c>
      <c r="L63" s="15" t="n"/>
      <c r="M63" s="15" t="n"/>
      <c r="N63" s="15" t="n"/>
      <c r="O63" s="15" t="n"/>
      <c r="P63" s="15" t="n"/>
      <c r="Q63" s="15" t="n"/>
      <c r="R63" s="15" t="n"/>
      <c r="S63" s="15" t="n"/>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inlineStr">
        <is>
          <t>Poke Ball Tin</t>
        </is>
      </c>
      <c r="K64" s="15">
        <f>SUM(H64,P64,R64,T64,V64)</f>
        <v/>
      </c>
      <c r="L64" s="15" t="n"/>
      <c r="M64" s="15" t="n"/>
      <c r="N64" s="15" t="n"/>
      <c r="O64" s="15" t="n"/>
      <c r="P64" s="15" t="n"/>
      <c r="Q64" s="15" t="n"/>
      <c r="R64" s="15" t="n"/>
      <c r="S64" s="15" t="n"/>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inlineStr">
        <is>
          <t>ETB (Elite Trainer Box)</t>
        </is>
      </c>
      <c r="K65" s="15">
        <f>SUM(H65,P65,R65,T65,V65)</f>
        <v/>
      </c>
      <c r="L65" s="15" t="n"/>
      <c r="M65" s="15" t="n"/>
      <c r="N65" s="15" t="n"/>
      <c r="O65" s="15" t="n"/>
      <c r="P65" s="15" t="n"/>
      <c r="Q65" s="15" t="n"/>
      <c r="R65" s="15" t="n"/>
      <c r="S65" s="15" t="n"/>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inlineStr">
        <is>
          <t>ETB (Elite Trainer Box)</t>
        </is>
      </c>
      <c r="K66" s="15">
        <f>SUM(H66,P66,R66,T66,V66)</f>
        <v/>
      </c>
      <c r="L66" s="15" t="n"/>
      <c r="M66" s="15" t="n"/>
      <c r="N66" s="15" t="n"/>
      <c r="O66" s="15" t="n"/>
      <c r="P66" s="15" t="n"/>
      <c r="Q66" s="15" t="n"/>
      <c r="R66" s="15" t="n"/>
      <c r="S66" s="15" t="n"/>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inlineStr">
        <is>
          <t>Collection Box</t>
        </is>
      </c>
      <c r="K67" s="15">
        <f>SUM(H67,P67,R67,T67,V67)</f>
        <v/>
      </c>
      <c r="L67" s="15" t="n"/>
      <c r="M67" s="15" t="n"/>
      <c r="N67" s="15" t="n"/>
      <c r="O67" s="15" t="n"/>
      <c r="P67" s="15" t="n"/>
      <c r="Q67" s="15" t="n"/>
      <c r="R67" s="15" t="n"/>
      <c r="S67" s="15" t="n"/>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inlineStr">
        <is>
          <t>ETB (Elite Trainer Box)</t>
        </is>
      </c>
      <c r="K68" s="15">
        <f>SUM(H68,P68,R68,T68,V68)</f>
        <v/>
      </c>
      <c r="L68" s="15" t="n"/>
      <c r="M68" s="15" t="n"/>
      <c r="N68" s="15" t="n"/>
      <c r="O68" s="15" t="n"/>
      <c r="P68" s="15" t="n"/>
      <c r="Q68" s="15" t="n"/>
      <c r="R68" s="15" t="n"/>
      <c r="S68" s="15" t="n"/>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inlineStr">
        <is>
          <t>Single Booster Pack</t>
        </is>
      </c>
      <c r="K69" s="15">
        <f>SUM(H69,P69,R69,T69,V69)</f>
        <v/>
      </c>
      <c r="L69" s="15" t="n"/>
      <c r="M69" s="15" t="n"/>
      <c r="N69" s="15" t="n"/>
      <c r="O69" s="15" t="n"/>
      <c r="P69" s="15" t="n"/>
      <c r="Q69" s="15" t="n"/>
      <c r="R69" s="15" t="n"/>
      <c r="S69" s="15" t="n"/>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1</v>
      </c>
      <c r="I70" s="15" t="n"/>
      <c r="J70" s="15" t="inlineStr">
        <is>
          <t>Single Booster Pack</t>
        </is>
      </c>
      <c r="K70" s="15">
        <f>SUM(H70,P70,R70,T70,V70)</f>
        <v/>
      </c>
      <c r="L70" s="15" t="n"/>
      <c r="M70" s="15" t="n"/>
      <c r="N70" s="15" t="n"/>
      <c r="O70" s="15" t="n"/>
      <c r="P70" s="15" t="n"/>
      <c r="Q70" s="15" t="n"/>
      <c r="R70" s="15" t="n"/>
      <c r="S70" s="15" t="n"/>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1</v>
      </c>
      <c r="I71" s="15" t="n"/>
      <c r="J71" s="15" t="inlineStr">
        <is>
          <t>Single Booster Pack</t>
        </is>
      </c>
      <c r="K71" s="15">
        <f>SUM(H71,P71,R71,T71,V71)</f>
        <v/>
      </c>
      <c r="L71" s="15" t="n"/>
      <c r="M71" s="15" t="n"/>
      <c r="N71" s="15" t="n"/>
      <c r="O71" s="15" t="n"/>
      <c r="P71" s="15" t="n"/>
      <c r="Q71" s="15" t="n"/>
      <c r="R71" s="15" t="n"/>
      <c r="S71" s="15" t="n"/>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1</v>
      </c>
      <c r="I72" s="15" t="n"/>
      <c r="J72" s="15" t="inlineStr">
        <is>
          <t>Single Booster Pack</t>
        </is>
      </c>
      <c r="K72" s="15">
        <f>SUM(H72,P72,R72,T72,V72)</f>
        <v/>
      </c>
      <c r="L72" s="15" t="n"/>
      <c r="M72" s="15" t="n"/>
      <c r="N72" s="15" t="n"/>
      <c r="O72" s="15" t="n"/>
      <c r="P72" s="15" t="n"/>
      <c r="Q72" s="15" t="n"/>
      <c r="R72" s="15" t="n"/>
      <c r="S72" s="15" t="n"/>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1</v>
      </c>
      <c r="I73" s="15" t="n"/>
      <c r="J73" s="15" t="inlineStr">
        <is>
          <t>Single Booster Pack</t>
        </is>
      </c>
      <c r="K73" s="15">
        <f>SUM(H73,P73,R73,T73,V73)</f>
        <v/>
      </c>
      <c r="L73" s="15" t="n"/>
      <c r="M73" s="15" t="n"/>
      <c r="N73" s="15" t="n"/>
      <c r="O73" s="15" t="n"/>
      <c r="P73" s="15" t="n"/>
      <c r="Q73" s="15" t="n"/>
      <c r="R73" s="15" t="n"/>
      <c r="S73" s="15" t="n"/>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1</v>
      </c>
      <c r="I74" s="15" t="n"/>
      <c r="J74" s="15" t="inlineStr">
        <is>
          <t>Single Booster Pack</t>
        </is>
      </c>
      <c r="K74" s="15">
        <f>SUM(H74,P74,R74,T74,V74)</f>
        <v/>
      </c>
      <c r="L74" s="15" t="n"/>
      <c r="M74" s="15" t="n"/>
      <c r="N74" s="15" t="n"/>
      <c r="O74" s="15" t="n"/>
      <c r="P74" s="15" t="n"/>
      <c r="Q74" s="15" t="n"/>
      <c r="R74" s="15" t="n"/>
      <c r="S74" s="15" t="n"/>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1</v>
      </c>
      <c r="I75" s="15" t="n"/>
      <c r="J75" s="15" t="inlineStr">
        <is>
          <t>Single Booster Pack</t>
        </is>
      </c>
      <c r="K75" s="15">
        <f>SUM(H75,P75,R75,T75,V75)</f>
        <v/>
      </c>
      <c r="L75" s="15" t="n"/>
      <c r="M75" s="15" t="n"/>
      <c r="N75" s="15" t="n"/>
      <c r="O75" s="15" t="n"/>
      <c r="P75" s="15" t="n"/>
      <c r="Q75" s="15" t="n"/>
      <c r="R75" s="15" t="n"/>
      <c r="S75" s="15" t="n"/>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inlineStr">
        <is>
          <t>Single Booster Pack</t>
        </is>
      </c>
      <c r="K76" s="15">
        <f>SUM(H76,P76,R76,T76,V76)</f>
        <v/>
      </c>
      <c r="L76" s="15" t="n"/>
      <c r="M76" s="15" t="n"/>
      <c r="N76" s="15" t="n"/>
      <c r="O76" s="15" t="n"/>
      <c r="P76" s="15" t="n"/>
      <c r="Q76" s="15" t="n"/>
      <c r="R76" s="15" t="n"/>
      <c r="S76" s="15" t="n"/>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1</v>
      </c>
      <c r="I77" s="15" t="n"/>
      <c r="J77" s="15" t="inlineStr">
        <is>
          <t>Single Booster Pack</t>
        </is>
      </c>
      <c r="K77" s="15">
        <f>SUM(H77,P77,R77,T77,V77)</f>
        <v/>
      </c>
      <c r="L77" s="15" t="n"/>
      <c r="M77" s="15" t="n"/>
      <c r="N77" s="15" t="n"/>
      <c r="O77" s="15" t="n"/>
      <c r="P77" s="15" t="n"/>
      <c r="Q77" s="15" t="n"/>
      <c r="R77" s="15" t="n"/>
      <c r="S77" s="15" t="n"/>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inlineStr">
        <is>
          <t>ETB (Elite Trainer Box)</t>
        </is>
      </c>
      <c r="K78" s="15">
        <f>SUM(H78,P78,R78,T78,V78)</f>
        <v/>
      </c>
      <c r="L78" s="15" t="n"/>
      <c r="M78" s="15" t="n"/>
      <c r="N78" s="15" t="n"/>
      <c r="O78" s="15" t="n"/>
      <c r="P78" s="15" t="n"/>
      <c r="Q78" s="15" t="n"/>
      <c r="R78" s="15" t="n"/>
      <c r="S78" s="15" t="n"/>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inlineStr">
        <is>
          <t>ex Premium Collection</t>
        </is>
      </c>
      <c r="K79" s="15">
        <f>SUM(H79,P79,R79,T79,V79)</f>
        <v/>
      </c>
      <c r="L79" s="15" t="inlineStr">
        <is>
          <t>Yes</t>
        </is>
      </c>
      <c r="M79" s="15" t="n"/>
      <c r="N79" s="15" t="n"/>
      <c r="O79" s="15" t="n"/>
      <c r="P79" s="15" t="n"/>
      <c r="Q79" s="15" t="n"/>
      <c r="R79" s="15" t="n"/>
      <c r="S79" s="15" t="n"/>
      <c r="T79" s="15" t="n"/>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4" t="inlineStr">
        <is>
          <t>Ascended Heroes</t>
        </is>
      </c>
      <c r="H80" s="15" t="n"/>
      <c r="I80" s="15" t="n"/>
      <c r="J80" s="15" t="inlineStr">
        <is>
          <t>ex Premium Collection</t>
        </is>
      </c>
      <c r="K80" s="15">
        <f>SUM(H80,P80,R80,T80,V80)</f>
        <v/>
      </c>
      <c r="L80" s="15" t="inlineStr">
        <is>
          <t>Yes</t>
        </is>
      </c>
      <c r="M80" s="15" t="n"/>
      <c r="N80" s="15" t="n"/>
      <c r="O80" s="15" t="n"/>
      <c r="P80" s="15" t="n"/>
      <c r="Q80" s="15" t="n"/>
      <c r="R80" s="15" t="n"/>
      <c r="S80" s="15" t="n"/>
      <c r="T80" s="15" t="n"/>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inlineStr">
        <is>
          <t>ex Premium Collection</t>
        </is>
      </c>
      <c r="K81" s="15">
        <f>SUM(H81,P81,R81,T81,V81)</f>
        <v/>
      </c>
      <c r="L81" s="15" t="inlineStr">
        <is>
          <t>Yes</t>
        </is>
      </c>
      <c r="M81" s="15" t="n"/>
      <c r="N81" s="15" t="n"/>
      <c r="O81" s="15" t="n"/>
      <c r="P81" s="15" t="n"/>
      <c r="Q81" s="15" t="n"/>
      <c r="R81" s="15" t="n"/>
      <c r="S81" s="15" t="n"/>
      <c r="T81" s="15" t="n"/>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4" t="inlineStr">
        <is>
          <t>Ascended Heroes</t>
        </is>
      </c>
      <c r="H82" s="15" t="n"/>
      <c r="I82" s="15" t="n"/>
      <c r="J82" s="15" t="inlineStr">
        <is>
          <t>ex Premium Collection</t>
        </is>
      </c>
      <c r="K82" s="15">
        <f>SUM(H82,P82,R82,T82,V82)</f>
        <v/>
      </c>
      <c r="L82" s="15" t="inlineStr">
        <is>
          <t>Yes</t>
        </is>
      </c>
      <c r="M82" s="15" t="n"/>
      <c r="N82" s="15" t="n"/>
      <c r="O82" s="15" t="n"/>
      <c r="P82" s="15" t="n"/>
      <c r="Q82" s="15" t="n"/>
      <c r="R82" s="15" t="n"/>
      <c r="S82" s="15" t="n"/>
      <c r="T82" s="15" t="n"/>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inlineStr">
        <is>
          <t>ETB (Elite Trainer Box)</t>
        </is>
      </c>
      <c r="K83" s="15">
        <f>SUM(H83,P83,R83,T83,V83)</f>
        <v/>
      </c>
      <c r="L83" s="15" t="n"/>
      <c r="M83" s="15" t="n"/>
      <c r="N83" s="15" t="n"/>
      <c r="O83" s="15" t="n"/>
      <c r="P83" s="15" t="n"/>
      <c r="Q83" s="15" t="n"/>
      <c r="R83" s="15" t="n"/>
      <c r="S83" s="15" t="n"/>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inlineStr">
        <is>
          <t>ETB (Elite Trainer Box)</t>
        </is>
      </c>
      <c r="K84" s="15">
        <f>SUM(H84,P84,R84,T84,V84)</f>
        <v/>
      </c>
      <c r="L84" s="15" t="n"/>
      <c r="M84" s="15" t="n"/>
      <c r="N84" s="15" t="n"/>
      <c r="O84" s="15" t="n"/>
      <c r="P84" s="15" t="n"/>
      <c r="Q84" s="15" t="n"/>
      <c r="R84" s="15" t="n"/>
      <c r="S84" s="15" t="n"/>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4" t="inlineStr">
        <is>
          <t>Ascended Heroes</t>
        </is>
      </c>
      <c r="H85" s="15" t="n"/>
      <c r="I85" s="15" t="n"/>
      <c r="J85" s="15" t="inlineStr">
        <is>
          <t>ex Premium Collection</t>
        </is>
      </c>
      <c r="K85" s="15">
        <f>SUM(H85,P85,R85,T85,V85)</f>
        <v/>
      </c>
      <c r="L85" s="15" t="inlineStr">
        <is>
          <t>Yes</t>
        </is>
      </c>
      <c r="M85" s="15" t="n"/>
      <c r="N85" s="15" t="n"/>
      <c r="O85" s="15" t="n"/>
      <c r="P85" s="15" t="n"/>
      <c r="Q85" s="15" t="n"/>
      <c r="R85" s="15" t="n"/>
      <c r="S85" s="15" t="n"/>
      <c r="T85" s="15" t="n"/>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inlineStr">
        <is>
          <t>ex Premium Collection</t>
        </is>
      </c>
      <c r="K86" s="15">
        <f>SUM(H86,P86,R86,T86,V86)</f>
        <v/>
      </c>
      <c r="L86" s="15" t="inlineStr">
        <is>
          <t>Yes</t>
        </is>
      </c>
      <c r="M86" s="15" t="n"/>
      <c r="N86" s="15" t="n"/>
      <c r="O86" s="15" t="n"/>
      <c r="P86" s="15" t="n"/>
      <c r="Q86" s="15" t="n"/>
      <c r="R86" s="15" t="n"/>
      <c r="S86" s="15" t="n"/>
      <c r="T86" s="15" t="n"/>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4" t="inlineStr">
        <is>
          <t>Ascended Heroes</t>
        </is>
      </c>
      <c r="H87" s="15" t="n"/>
      <c r="I87" s="15" t="n"/>
      <c r="J87" s="15" t="inlineStr">
        <is>
          <t>ex Premium Collection</t>
        </is>
      </c>
      <c r="K87" s="15">
        <f>SUM(H87,P87,R87,T87,V87)</f>
        <v/>
      </c>
      <c r="L87" s="15" t="inlineStr">
        <is>
          <t>Yes</t>
        </is>
      </c>
      <c r="M87" s="15" t="n"/>
      <c r="N87" s="15" t="n"/>
      <c r="O87" s="15" t="n"/>
      <c r="P87" s="15" t="n"/>
      <c r="Q87" s="15" t="n"/>
      <c r="R87" s="15" t="n"/>
      <c r="S87" s="15" t="n"/>
      <c r="T87" s="15" t="n"/>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inlineStr">
        <is>
          <t>ex Premium Collection</t>
        </is>
      </c>
      <c r="K88" s="15">
        <f>SUM(H88,P88,R88,T88,V88)</f>
        <v/>
      </c>
      <c r="L88" s="15" t="inlineStr">
        <is>
          <t>Yes</t>
        </is>
      </c>
      <c r="M88" s="15" t="n"/>
      <c r="N88" s="15" t="n"/>
      <c r="O88" s="15" t="n"/>
      <c r="P88" s="15" t="n"/>
      <c r="Q88" s="15" t="n"/>
      <c r="R88" s="15" t="n"/>
      <c r="S88" s="15" t="n"/>
      <c r="T88" s="15" t="n"/>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inlineStr">
        <is>
          <t>ETB (Elite Trainer Box)</t>
        </is>
      </c>
      <c r="K89" s="15">
        <f>SUM(H89,P89,R89,T89,V89)</f>
        <v/>
      </c>
      <c r="L89" s="15" t="n"/>
      <c r="M89" s="15" t="n"/>
      <c r="N89" s="15" t="n"/>
      <c r="O89" s="15" t="n"/>
      <c r="P89" s="15" t="n"/>
      <c r="Q89" s="15" t="n"/>
      <c r="R89" s="15" t="n"/>
      <c r="S89" s="15" t="n"/>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inlineStr">
        <is>
          <t>ex Premium Collection</t>
        </is>
      </c>
      <c r="K90" s="15">
        <f>SUM(H90,P90,R90,T90,V90)</f>
        <v/>
      </c>
      <c r="L90" s="15" t="n"/>
      <c r="M90" s="15" t="n"/>
      <c r="N90" s="15" t="n"/>
      <c r="O90" s="15" t="n"/>
      <c r="P90" s="15" t="n"/>
      <c r="Q90" s="15" t="n"/>
      <c r="R90" s="15" t="n"/>
      <c r="S90" s="15" t="n"/>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inlineStr">
        <is>
          <t>ETB (Elite Trainer Box)</t>
        </is>
      </c>
      <c r="K91" s="15">
        <f>SUM(H91,P91,R91,T91,V91)</f>
        <v/>
      </c>
      <c r="L91" s="15" t="n"/>
      <c r="M91" s="15" t="n"/>
      <c r="N91" s="15" t="n"/>
      <c r="O91" s="15" t="n"/>
      <c r="P91" s="15" t="n"/>
      <c r="Q91" s="15" t="n"/>
      <c r="R91" s="15" t="n"/>
      <c r="S91" s="15" t="n"/>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4" t="inlineStr">
        <is>
          <t>Ascended Heroes</t>
        </is>
      </c>
      <c r="H92" s="15" t="n"/>
      <c r="I92" s="15" t="n"/>
      <c r="J92" s="15" t="inlineStr">
        <is>
          <t>ex Premium Collection</t>
        </is>
      </c>
      <c r="K92" s="15">
        <f>SUM(H92,P92,R92,T92,V92)</f>
        <v/>
      </c>
      <c r="L92" s="15" t="n"/>
      <c r="M92" s="15" t="n"/>
      <c r="N92" s="15" t="n"/>
      <c r="O92" s="15" t="n"/>
      <c r="P92" s="15" t="n"/>
      <c r="Q92" s="15" t="n"/>
      <c r="R92" s="15" t="n"/>
      <c r="S92" s="15" t="n"/>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inlineStr">
        <is>
          <t>ETB (Elite Trainer Box)</t>
        </is>
      </c>
      <c r="K93" s="15">
        <f>SUM(H93,P93,R93,T93,V93)</f>
        <v/>
      </c>
      <c r="L93" s="15" t="n"/>
      <c r="M93" s="15" t="n"/>
      <c r="N93" s="15" t="n"/>
      <c r="O93" s="15" t="n"/>
      <c r="P93" s="15" t="n"/>
      <c r="Q93" s="15" t="n"/>
      <c r="R93" s="15" t="n"/>
      <c r="S93" s="15" t="n"/>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4" t="inlineStr">
        <is>
          <t>Ascended Heroes</t>
        </is>
      </c>
      <c r="H94" s="15" t="n"/>
      <c r="I94" s="15" t="n"/>
      <c r="J94" s="15" t="inlineStr">
        <is>
          <t>ex Premium Collection</t>
        </is>
      </c>
      <c r="K94" s="15">
        <f>SUM(H94,P94,R94,T94,V94)</f>
        <v/>
      </c>
      <c r="L94" s="15" t="n"/>
      <c r="M94" s="15" t="n"/>
      <c r="N94" s="15" t="n"/>
      <c r="O94" s="15" t="n"/>
      <c r="P94" s="15" t="n"/>
      <c r="Q94" s="15" t="n"/>
      <c r="R94" s="15" t="n"/>
      <c r="S94" s="15" t="n"/>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inlineStr">
        <is>
          <t>ETB (Elite Trainer Box)</t>
        </is>
      </c>
      <c r="K95" s="15">
        <f>SUM(H95,P95,R95,T95,V95)</f>
        <v/>
      </c>
      <c r="L95" s="15" t="n"/>
      <c r="M95" s="15" t="n"/>
      <c r="N95" s="15" t="n"/>
      <c r="O95" s="15" t="n"/>
      <c r="P95" s="15" t="n"/>
      <c r="Q95" s="15" t="n"/>
      <c r="R95" s="15" t="n"/>
      <c r="S95" s="15" t="n"/>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inlineStr">
        <is>
          <t>ex Premium Collection</t>
        </is>
      </c>
      <c r="K96" s="15">
        <f>SUM(H96,P96,R96,T96,V96)</f>
        <v/>
      </c>
      <c r="L96" s="15" t="n"/>
      <c r="M96" s="15" t="n"/>
      <c r="N96" s="15" t="n"/>
      <c r="O96" s="15" t="n"/>
      <c r="P96" s="15" t="n"/>
      <c r="Q96" s="15" t="n"/>
      <c r="R96" s="15" t="n"/>
      <c r="S96" s="15" t="n"/>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inlineStr">
        <is>
          <t>ETB (Elite Trainer Box)</t>
        </is>
      </c>
      <c r="K97" s="15">
        <f>SUM(H97,P97,R97,T97,V97)</f>
        <v/>
      </c>
      <c r="L97" s="15" t="n"/>
      <c r="M97" s="15" t="n"/>
      <c r="N97" s="15" t="n"/>
      <c r="O97" s="15" t="n"/>
      <c r="P97" s="15" t="n"/>
      <c r="Q97" s="15" t="n"/>
      <c r="R97" s="15" t="n"/>
      <c r="S97" s="15" t="n"/>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inlineStr">
        <is>
          <t>ETB (Elite Trainer Box)</t>
        </is>
      </c>
      <c r="K98" s="15">
        <f>SUM(H98,P98,R98,T98,V98)</f>
        <v/>
      </c>
      <c r="L98" s="15" t="n"/>
      <c r="M98" s="15" t="n"/>
      <c r="N98" s="15" t="n"/>
      <c r="O98" s="15" t="n"/>
      <c r="P98" s="15" t="n"/>
      <c r="Q98" s="15" t="n"/>
      <c r="R98" s="15" t="n"/>
      <c r="S98" s="15" t="n"/>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inlineStr">
        <is>
          <t>ex Premium Collection</t>
        </is>
      </c>
      <c r="K99" s="15">
        <f>SUM(H99,P99,R99,T99,V99)</f>
        <v/>
      </c>
      <c r="L99" s="15" t="inlineStr">
        <is>
          <t>Yes</t>
        </is>
      </c>
      <c r="M99" s="15" t="n"/>
      <c r="N99" s="15" t="n"/>
      <c r="O99" s="15" t="n"/>
      <c r="P99" s="15" t="n"/>
      <c r="Q99" s="15" t="n"/>
      <c r="R99" s="15" t="n"/>
      <c r="S99" s="15" t="n"/>
      <c r="T99" s="15" t="n"/>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inlineStr">
        <is>
          <t>Japanese Booster Pack</t>
        </is>
      </c>
      <c r="K100" s="15">
        <f>SUM(H100,P100,R100,T100,V100)</f>
        <v/>
      </c>
      <c r="L100" s="15" t="n"/>
      <c r="M100" s="15" t="n"/>
      <c r="N100" s="15" t="n"/>
      <c r="O100" s="15" t="n"/>
      <c r="P100" s="15" t="n"/>
      <c r="Q100" s="15" t="n"/>
      <c r="R100" s="15" t="n"/>
      <c r="S100" s="15" t="n"/>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5" t="n"/>
      <c r="J101" s="15" t="inlineStr">
        <is>
          <t>ex Premium Collection</t>
        </is>
      </c>
      <c r="K101" s="15">
        <f>SUM(H101,P101,R101,T101,V101)</f>
        <v/>
      </c>
      <c r="L101" s="15" t="inlineStr">
        <is>
          <t>Yes</t>
        </is>
      </c>
      <c r="M101" s="15" t="n"/>
      <c r="N101" s="15" t="n"/>
      <c r="O101" s="14" t="inlineStr">
        <is>
          <t>Perfect Order</t>
        </is>
      </c>
      <c r="P101" s="15" t="n"/>
      <c r="Q101" s="15" t="n"/>
      <c r="R101" s="15" t="n"/>
      <c r="S101" s="15" t="n"/>
      <c r="T101" s="15" t="n"/>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inlineStr">
        <is>
          <t>Booster Bundle</t>
        </is>
      </c>
      <c r="K102" s="15">
        <f>SUM(H102,P102,R102,T102,V102)</f>
        <v/>
      </c>
      <c r="L102" s="15" t="n"/>
      <c r="M102" s="15" t="n"/>
      <c r="N102" s="15" t="n"/>
      <c r="O102" s="15" t="n"/>
      <c r="P102" s="15" t="n"/>
      <c r="Q102" s="15" t="n"/>
      <c r="R102" s="15" t="n"/>
      <c r="S102" s="15" t="n"/>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5" t="n"/>
      <c r="J103" s="15" t="inlineStr">
        <is>
          <t>ex Premium Collection</t>
        </is>
      </c>
      <c r="K103" s="15">
        <f>SUM(H103,P103,R103,T103,V103)</f>
        <v/>
      </c>
      <c r="L103" s="15" t="n"/>
      <c r="M103" s="15" t="n"/>
      <c r="N103" s="15" t="n"/>
      <c r="O103" s="14" t="inlineStr">
        <is>
          <t>Perfect Order</t>
        </is>
      </c>
      <c r="P103" s="15" t="n"/>
      <c r="Q103" s="15" t="n"/>
      <c r="R103" s="15" t="n"/>
      <c r="S103" s="15" t="n"/>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929</v>
      </c>
      <c r="E104" s="11" t="inlineStr">
        <is>
          <t>0:23</t>
        </is>
      </c>
      <c r="F104" s="13">
        <f>HYPERLINK("https://youtu.be/_3gRDHTv1lQ","watch")</f>
        <v/>
      </c>
      <c r="G104" s="15" t="n"/>
      <c r="H104" s="15" t="n"/>
      <c r="I104" s="15" t="n"/>
      <c r="J104" s="15" t="inlineStr">
        <is>
          <t>ex Premium Collection</t>
        </is>
      </c>
      <c r="K104" s="15">
        <f>SUM(H104,P104,R104,T104,V104)</f>
        <v/>
      </c>
      <c r="L104" s="15" t="n"/>
      <c r="M104" s="15" t="n"/>
      <c r="N104" s="15" t="n"/>
      <c r="O104" s="15" t="n"/>
      <c r="P104" s="15" t="n"/>
      <c r="Q104" s="15" t="n"/>
      <c r="R104" s="15" t="n"/>
      <c r="S104" s="15" t="n"/>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inlineStr">
        <is>
          <t>Japanese Booster Pack</t>
        </is>
      </c>
      <c r="K105" s="15">
        <f>SUM(H105,P105,R105,T105,V105)</f>
        <v/>
      </c>
      <c r="L105" s="15" t="n"/>
      <c r="M105" s="15" t="n"/>
      <c r="N105" s="15" t="n"/>
      <c r="O105" s="15" t="n"/>
      <c r="P105" s="15" t="n"/>
      <c r="Q105" s="15" t="n"/>
      <c r="R105" s="15" t="n"/>
      <c r="S105" s="15" t="n"/>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inlineStr">
        <is>
          <t>Japanese Booster Pack</t>
        </is>
      </c>
      <c r="K106" s="15">
        <f>SUM(H106,P106,R106,T106,V106)</f>
        <v/>
      </c>
      <c r="L106" s="15" t="n"/>
      <c r="M106" s="15" t="n"/>
      <c r="N106" s="15" t="n"/>
      <c r="O106" s="15" t="n"/>
      <c r="P106" s="15" t="n"/>
      <c r="Q106" s="15" t="n"/>
      <c r="R106" s="15" t="n"/>
      <c r="S106" s="15" t="n"/>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inlineStr">
        <is>
          <t>Booster Bundle</t>
        </is>
      </c>
      <c r="K107" s="15">
        <f>SUM(H107,P107,R107,T107,V107)</f>
        <v/>
      </c>
      <c r="L107" s="15" t="n"/>
      <c r="M107" s="15" t="n"/>
      <c r="N107" s="15" t="n"/>
      <c r="O107" s="15" t="n"/>
      <c r="P107" s="15" t="n"/>
      <c r="Q107" s="15" t="n"/>
      <c r="R107" s="15" t="n"/>
      <c r="S107" s="15" t="n"/>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inlineStr">
        <is>
          <t>Booster Bundle</t>
        </is>
      </c>
      <c r="K108" s="15">
        <f>SUM(H108,P108,R108,T108,V108)</f>
        <v/>
      </c>
      <c r="L108" s="15" t="n"/>
      <c r="M108" s="15" t="n"/>
      <c r="N108" s="15" t="n"/>
      <c r="O108" s="15" t="n"/>
      <c r="P108" s="15" t="n"/>
      <c r="Q108" s="15" t="n"/>
      <c r="R108" s="15" t="n"/>
      <c r="S108" s="15" t="n"/>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inlineStr">
        <is>
          <t>ex Premium Collection</t>
        </is>
      </c>
      <c r="K109" s="15">
        <f>SUM(H109,P109,R109,T109,V109)</f>
        <v/>
      </c>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inlineStr">
        <is>
          <t>ex Premium Collection</t>
        </is>
      </c>
      <c r="K110" s="15">
        <f>SUM(H110,P110,R110,T110,V110)</f>
        <v/>
      </c>
      <c r="L110" s="15" t="n"/>
      <c r="M110" s="15" t="n"/>
      <c r="N110" s="15" t="n"/>
      <c r="O110" s="15" t="n"/>
      <c r="P110" s="15" t="n"/>
      <c r="Q110" s="15" t="n"/>
      <c r="R110" s="15" t="n"/>
      <c r="S110" s="15" t="n"/>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inlineStr">
        <is>
          <t>Japanese Booster Pack</t>
        </is>
      </c>
      <c r="K111" s="15">
        <f>SUM(H111,P111,R111,T111,V111)</f>
        <v/>
      </c>
      <c r="L111" s="15" t="n"/>
      <c r="M111" s="15" t="n"/>
      <c r="N111" s="15" t="n"/>
      <c r="O111" s="15" t="n"/>
      <c r="P111" s="15" t="n"/>
      <c r="Q111" s="15" t="n"/>
      <c r="R111" s="15" t="n"/>
      <c r="S111" s="15" t="n"/>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inlineStr">
        <is>
          <t>Japanese Booster Pack</t>
        </is>
      </c>
      <c r="K112" s="15">
        <f>SUM(H112,P112,R112,T112,V112)</f>
        <v/>
      </c>
      <c r="L112" s="15" t="n"/>
      <c r="M112" s="15" t="n"/>
      <c r="N112" s="15" t="n"/>
      <c r="O112" s="15" t="n"/>
      <c r="P112" s="15" t="n"/>
      <c r="Q112" s="15" t="n"/>
      <c r="R112" s="15" t="n"/>
      <c r="S112" s="15" t="n"/>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inlineStr">
        <is>
          <t>Booster Bundle</t>
        </is>
      </c>
      <c r="K113" s="15">
        <f>SUM(H113,P113,R113,T113,V113)</f>
        <v/>
      </c>
      <c r="L113" s="15" t="n"/>
      <c r="M113" s="15" t="n"/>
      <c r="N113" s="15" t="n"/>
      <c r="O113" s="15" t="n"/>
      <c r="P113" s="15" t="n"/>
      <c r="Q113" s="15" t="n"/>
      <c r="R113" s="15" t="n"/>
      <c r="S113" s="15" t="n"/>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inlineStr">
        <is>
          <t>Booster Bundle</t>
        </is>
      </c>
      <c r="K114" s="15">
        <f>SUM(H114,P114,R114,T114,V114)</f>
        <v/>
      </c>
      <c r="L114" s="15" t="n"/>
      <c r="M114" s="15" t="n"/>
      <c r="N114" s="15" t="n"/>
      <c r="O114" s="15" t="n"/>
      <c r="P114" s="15" t="n"/>
      <c r="Q114" s="15" t="n"/>
      <c r="R114" s="15" t="n"/>
      <c r="S114" s="15" t="n"/>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inlineStr">
        <is>
          <t>ex Premium Collection</t>
        </is>
      </c>
      <c r="K115" s="15">
        <f>SUM(H115,P115,R115,T115,V115)</f>
        <v/>
      </c>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inlineStr">
        <is>
          <t>Booster Bundle</t>
        </is>
      </c>
      <c r="K116" s="15">
        <f>SUM(H116,P116,R116,T116,V116)</f>
        <v/>
      </c>
      <c r="L116" s="15" t="n"/>
      <c r="M116" s="15" t="n"/>
      <c r="N116" s="15" t="n"/>
      <c r="O116" s="15" t="n"/>
      <c r="P116" s="15" t="n"/>
      <c r="Q116" s="15" t="n"/>
      <c r="R116" s="15" t="n"/>
      <c r="S116" s="15" t="n"/>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inlineStr">
        <is>
          <t>ex Premium Collection</t>
        </is>
      </c>
      <c r="K117" s="15">
        <f>SUM(H117,P117,R117,T117,V117)</f>
        <v/>
      </c>
      <c r="L117" s="15" t="n"/>
      <c r="M117" s="15" t="n"/>
      <c r="N117" s="15" t="n"/>
      <c r="O117" s="15" t="n"/>
      <c r="P117" s="15" t="n"/>
      <c r="Q117" s="15" t="n"/>
      <c r="R117" s="15" t="n"/>
      <c r="S117" s="15" t="n"/>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inlineStr">
        <is>
          <t>Booster Bundle</t>
        </is>
      </c>
      <c r="K118" s="15">
        <f>SUM(H118,P118,R118,T118,V118)</f>
        <v/>
      </c>
      <c r="L118" s="15" t="n"/>
      <c r="M118" s="15" t="n"/>
      <c r="N118" s="15" t="n"/>
      <c r="O118" s="15" t="n"/>
      <c r="P118" s="15" t="n"/>
      <c r="Q118" s="15" t="n"/>
      <c r="R118" s="15" t="n"/>
      <c r="S118" s="15" t="n"/>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inlineStr">
        <is>
          <t>Booster Bundle</t>
        </is>
      </c>
      <c r="K119" s="15">
        <f>SUM(H119,P119,R119,T119,V119)</f>
        <v/>
      </c>
      <c r="L119" s="15" t="n"/>
      <c r="M119" s="15" t="n"/>
      <c r="N119" s="15" t="n"/>
      <c r="O119" s="15" t="n"/>
      <c r="P119" s="15" t="n"/>
      <c r="Q119" s="15" t="n"/>
      <c r="R119" s="15" t="n"/>
      <c r="S119" s="15" t="n"/>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inlineStr">
        <is>
          <t>Booster Bundle</t>
        </is>
      </c>
      <c r="K120" s="15">
        <f>SUM(H120,P120,R120,T120,V120)</f>
        <v/>
      </c>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inlineStr">
        <is>
          <t>Booster Bundle</t>
        </is>
      </c>
      <c r="K121" s="15">
        <f>SUM(H121,P121,R121,T121,V121)</f>
        <v/>
      </c>
      <c r="L121" s="15" t="n"/>
      <c r="M121" s="15" t="n"/>
      <c r="N121" s="15" t="n"/>
      <c r="O121" s="15" t="n"/>
      <c r="P121" s="15" t="n"/>
      <c r="Q121" s="15" t="n"/>
      <c r="R121" s="15" t="n"/>
      <c r="S121" s="15" t="n"/>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inlineStr">
        <is>
          <t>Booster Bundle</t>
        </is>
      </c>
      <c r="K122" s="15">
        <f>SUM(H122,P122,R122,T122,V122)</f>
        <v/>
      </c>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inlineStr">
        <is>
          <t>Booster Bundle</t>
        </is>
      </c>
      <c r="K123" s="15">
        <f>SUM(H123,P123,R123,T123,V123)</f>
        <v/>
      </c>
      <c r="L123" s="15" t="n"/>
      <c r="M123" s="15" t="n"/>
      <c r="N123" s="15" t="n"/>
      <c r="O123" s="15" t="n"/>
      <c r="P123" s="15" t="n"/>
      <c r="Q123" s="15" t="n"/>
      <c r="R123" s="15" t="n"/>
      <c r="S123" s="15" t="n"/>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inlineStr">
        <is>
          <t>Booster Bundle</t>
        </is>
      </c>
      <c r="K124" s="15">
        <f>SUM(H124,P124,R124,T124,V124)</f>
        <v/>
      </c>
      <c r="L124" s="15" t="n"/>
      <c r="M124" s="15" t="n"/>
      <c r="N124" s="15" t="n"/>
      <c r="O124" s="15" t="n"/>
      <c r="P124" s="15" t="n"/>
      <c r="Q124" s="15" t="n"/>
      <c r="R124" s="15" t="n"/>
      <c r="S124" s="15" t="n"/>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inlineStr">
        <is>
          <t>Booster Bundle</t>
        </is>
      </c>
      <c r="K125" s="15">
        <f>SUM(H125,P125,R125,T125,V125)</f>
        <v/>
      </c>
      <c r="L125" s="15" t="n"/>
      <c r="M125" s="15" t="n"/>
      <c r="N125" s="15" t="n"/>
      <c r="O125" s="15" t="n"/>
      <c r="P125" s="15" t="n"/>
      <c r="Q125" s="15" t="n"/>
      <c r="R125" s="15" t="n"/>
      <c r="S125" s="15" t="n"/>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inlineStr">
        <is>
          <t>Booster Bundle</t>
        </is>
      </c>
      <c r="K126" s="15">
        <f>SUM(H126,P126,R126,T126,V126)</f>
        <v/>
      </c>
      <c r="L126" s="15" t="n"/>
      <c r="M126" s="15" t="n"/>
      <c r="N126" s="15" t="n"/>
      <c r="O126" s="15" t="n"/>
      <c r="P126" s="15" t="n"/>
      <c r="Q126" s="15" t="n"/>
      <c r="R126" s="15" t="n"/>
      <c r="S126" s="15" t="n"/>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inlineStr">
        <is>
          <t>Booster Bundle</t>
        </is>
      </c>
      <c r="K127" s="15">
        <f>SUM(H127,P127,R127,T127,V127)</f>
        <v/>
      </c>
      <c r="L127" s="15" t="n"/>
      <c r="M127" s="15" t="n"/>
      <c r="N127" s="15" t="n"/>
      <c r="O127" s="15" t="n"/>
      <c r="P127" s="15" t="n"/>
      <c r="Q127" s="15" t="n"/>
      <c r="R127" s="15" t="n"/>
      <c r="S127" s="15" t="n"/>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inlineStr">
        <is>
          <t>Booster Bundle</t>
        </is>
      </c>
      <c r="K128" s="15">
        <f>SUM(H128,P128,R128,T128,V128)</f>
        <v/>
      </c>
      <c r="L128" s="15" t="n"/>
      <c r="M128" s="15" t="n"/>
      <c r="N128" s="15" t="n"/>
      <c r="O128" s="15" t="n"/>
      <c r="P128" s="15" t="n"/>
      <c r="Q128" s="15" t="n"/>
      <c r="R128" s="15" t="n"/>
      <c r="S128" s="15" t="n"/>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inlineStr">
        <is>
          <t>Booster Bundle</t>
        </is>
      </c>
      <c r="K129" s="15">
        <f>SUM(H129,P129,R129,T129,V129)</f>
        <v/>
      </c>
      <c r="L129" s="15" t="n"/>
      <c r="M129" s="15" t="n"/>
      <c r="N129" s="15" t="n"/>
      <c r="O129" s="15" t="n"/>
      <c r="P129" s="15" t="n"/>
      <c r="Q129" s="15" t="n"/>
      <c r="R129" s="15" t="n"/>
      <c r="S129" s="15" t="n"/>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inlineStr">
        <is>
          <t>Booster Bundle</t>
        </is>
      </c>
      <c r="K130" s="15">
        <f>SUM(H130,P130,R130,T130,V130)</f>
        <v/>
      </c>
      <c r="L130" s="15" t="n"/>
      <c r="M130" s="15" t="n"/>
      <c r="N130" s="15" t="n"/>
      <c r="O130" s="15" t="n"/>
      <c r="P130" s="15" t="n"/>
      <c r="Q130" s="15" t="n"/>
      <c r="R130" s="15" t="n"/>
      <c r="S130" s="15" t="n"/>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inlineStr">
        <is>
          <t>Booster Bundle</t>
        </is>
      </c>
      <c r="K131" s="15">
        <f>SUM(H131,P131,R131,T131,V131)</f>
        <v/>
      </c>
      <c r="L131" s="15" t="n"/>
      <c r="M131" s="15" t="n"/>
      <c r="N131" s="15" t="n"/>
      <c r="O131" s="15" t="n"/>
      <c r="P131" s="15" t="n"/>
      <c r="Q131" s="15" t="n"/>
      <c r="R131" s="15" t="n"/>
      <c r="S131" s="15" t="n"/>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inlineStr">
        <is>
          <t>Booster Bundle</t>
        </is>
      </c>
      <c r="K132" s="15">
        <f>SUM(H132,P132,R132,T132,V132)</f>
        <v/>
      </c>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inlineStr">
        <is>
          <t>Booster Bundle</t>
        </is>
      </c>
      <c r="K133" s="15">
        <f>SUM(H133,P133,R133,T133,V133)</f>
        <v/>
      </c>
      <c r="L133" s="15" t="n"/>
      <c r="M133" s="15" t="n"/>
      <c r="N133" s="15" t="n"/>
      <c r="O133" s="15" t="n"/>
      <c r="P133" s="15" t="n"/>
      <c r="Q133" s="15" t="n"/>
      <c r="R133" s="15" t="n"/>
      <c r="S133" s="15" t="n"/>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inlineStr">
        <is>
          <t>Booster Bundle</t>
        </is>
      </c>
      <c r="K134" s="15">
        <f>SUM(H134,P134,R134,T134,V134)</f>
        <v/>
      </c>
      <c r="L134" s="15" t="n"/>
      <c r="M134" s="15" t="n"/>
      <c r="N134" s="15" t="n"/>
      <c r="O134" s="15" t="n"/>
      <c r="P134" s="15" t="n"/>
      <c r="Q134" s="15" t="n"/>
      <c r="R134" s="15" t="n"/>
      <c r="S134" s="15" t="n"/>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inlineStr">
        <is>
          <t>ETB (Elite Trainer Box)</t>
        </is>
      </c>
      <c r="K135" s="15">
        <f>SUM(H135,P135,R135,T135,V135)</f>
        <v/>
      </c>
      <c r="L135" s="15" t="inlineStr">
        <is>
          <t>Yes</t>
        </is>
      </c>
      <c r="M135" s="15" t="n"/>
      <c r="N135" s="15" t="n"/>
      <c r="O135" s="15" t="n"/>
      <c r="P135" s="15" t="n"/>
      <c r="Q135" s="15" t="n"/>
      <c r="R135" s="15" t="n"/>
      <c r="S135" s="15" t="n"/>
      <c r="T135" s="15" t="n"/>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inlineStr">
        <is>
          <t>Booster Bundle</t>
        </is>
      </c>
      <c r="K136" s="15">
        <f>SUM(H136,P136,R136,T136,V136)</f>
        <v/>
      </c>
      <c r="L136" s="15" t="n"/>
      <c r="M136" s="15" t="n"/>
      <c r="N136" s="15" t="n"/>
      <c r="O136" s="15" t="n"/>
      <c r="P136" s="15" t="n"/>
      <c r="Q136" s="15" t="n"/>
      <c r="R136" s="15" t="n"/>
      <c r="S136" s="15" t="n"/>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inlineStr">
        <is>
          <t>ETB (Elite Trainer Box)</t>
        </is>
      </c>
      <c r="K137" s="15">
        <f>SUM(H137,P137,R137,T137,V137)</f>
        <v/>
      </c>
      <c r="L137" s="15" t="inlineStr">
        <is>
          <t>Yes</t>
        </is>
      </c>
      <c r="M137" s="15" t="n"/>
      <c r="N137" s="15" t="n"/>
      <c r="O137" s="15" t="n"/>
      <c r="P137" s="15" t="n"/>
      <c r="Q137" s="15" t="n"/>
      <c r="R137" s="15" t="n"/>
      <c r="S137" s="15" t="n"/>
      <c r="T137" s="15" t="n"/>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inlineStr">
        <is>
          <t>Single Booster Pack</t>
        </is>
      </c>
      <c r="K138" s="15">
        <f>SUM(H138,P138,R138,T138,V138)</f>
        <v/>
      </c>
      <c r="L138" s="15" t="inlineStr">
        <is>
          <t>Yes</t>
        </is>
      </c>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inlineStr">
        <is>
          <t>ETB (Elite Trainer Box)</t>
        </is>
      </c>
      <c r="K139" s="15">
        <f>SUM(H139,P139,R139,T139,V139)</f>
        <v/>
      </c>
      <c r="L139" s="15" t="inlineStr">
        <is>
          <t>Yes</t>
        </is>
      </c>
      <c r="M139" s="15" t="n"/>
      <c r="N139" s="15" t="n"/>
      <c r="O139" s="15" t="n"/>
      <c r="P139" s="15" t="n"/>
      <c r="Q139" s="15" t="n"/>
      <c r="R139" s="15" t="n"/>
      <c r="S139" s="15" t="n"/>
      <c r="T139" s="15" t="n"/>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inlineStr">
        <is>
          <t>ETB (Elite Trainer Box)</t>
        </is>
      </c>
      <c r="K140" s="15">
        <f>SUM(H140,P140,R140,T140,V140)</f>
        <v/>
      </c>
      <c r="L140" s="15" t="inlineStr">
        <is>
          <t>Yes</t>
        </is>
      </c>
      <c r="M140" s="15" t="n"/>
      <c r="N140" s="15" t="n"/>
      <c r="O140" s="15" t="n"/>
      <c r="P140" s="15" t="n"/>
      <c r="Q140" s="15" t="n"/>
      <c r="R140" s="15" t="n"/>
      <c r="S140" s="15" t="n"/>
      <c r="T140" s="15" t="n"/>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inlineStr">
        <is>
          <t>ETB (Elite Trainer Box)</t>
        </is>
      </c>
      <c r="K141" s="15">
        <f>SUM(H141,P141,R141,T141,V141)</f>
        <v/>
      </c>
      <c r="L141" s="15" t="n"/>
      <c r="M141" s="15" t="n"/>
      <c r="N141" s="15" t="n"/>
      <c r="O141" s="15" t="n"/>
      <c r="P141" s="15" t="n"/>
      <c r="Q141" s="15" t="n"/>
      <c r="R141" s="15" t="n"/>
      <c r="S141" s="15" t="n"/>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inlineStr">
        <is>
          <t>Booster Bundle</t>
        </is>
      </c>
      <c r="K142" s="15">
        <f>SUM(H142,P142,R142,T142,V142)</f>
        <v/>
      </c>
      <c r="L142" s="15" t="n"/>
      <c r="M142" s="15" t="n"/>
      <c r="N142" s="15" t="n"/>
      <c r="O142" s="15" t="n"/>
      <c r="P142" s="15" t="n"/>
      <c r="Q142" s="15" t="n"/>
      <c r="R142" s="15" t="n"/>
      <c r="S142" s="15" t="n"/>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inlineStr">
        <is>
          <t>Single Booster Pack</t>
        </is>
      </c>
      <c r="K143" s="15">
        <f>SUM(H143,P143,R143,T143,V143)</f>
        <v/>
      </c>
      <c r="L143" s="15" t="inlineStr">
        <is>
          <t>Yes</t>
        </is>
      </c>
      <c r="M143" s="15" t="n"/>
      <c r="N143" s="15" t="n"/>
      <c r="O143" s="15" t="n"/>
      <c r="P143" s="15" t="n"/>
      <c r="Q143" s="15" t="n"/>
      <c r="R143" s="15" t="n"/>
      <c r="S143" s="15" t="n"/>
      <c r="T143" s="15" t="n"/>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inlineStr">
        <is>
          <t>Single Booster Pack</t>
        </is>
      </c>
      <c r="K144" s="15">
        <f>SUM(H144,P144,R144,T144,V144)</f>
        <v/>
      </c>
      <c r="L144" s="15" t="n"/>
      <c r="M144" s="15" t="n"/>
      <c r="N144" s="15" t="n"/>
      <c r="O144" s="15" t="n"/>
      <c r="P144" s="15" t="n"/>
      <c r="Q144" s="15" t="n"/>
      <c r="R144" s="15" t="n"/>
      <c r="S144" s="15" t="n"/>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inlineStr">
        <is>
          <t>Single Booster Pack</t>
        </is>
      </c>
      <c r="K145" s="15">
        <f>SUM(H145,P145,R145,T145,V145)</f>
        <v/>
      </c>
      <c r="L145" s="15" t="n"/>
      <c r="M145" s="15" t="n"/>
      <c r="N145" s="15" t="n"/>
      <c r="O145" s="15" t="n"/>
      <c r="P145" s="15" t="n"/>
      <c r="Q145" s="15" t="n"/>
      <c r="R145" s="15" t="n"/>
      <c r="S145" s="15" t="n"/>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inlineStr">
        <is>
          <t>Single Booster Pack</t>
        </is>
      </c>
      <c r="K146" s="15">
        <f>SUM(H146,P146,R146,T146,V146)</f>
        <v/>
      </c>
      <c r="L146" s="15" t="n"/>
      <c r="M146" s="15" t="n"/>
      <c r="N146" s="15" t="n"/>
      <c r="O146" s="15" t="n"/>
      <c r="P146" s="15" t="n"/>
      <c r="Q146" s="15" t="n"/>
      <c r="R146" s="15" t="n"/>
      <c r="S146" s="15" t="n"/>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inlineStr">
        <is>
          <t>Single Booster Pack</t>
        </is>
      </c>
      <c r="K147" s="15">
        <f>SUM(H147,P147,R147,T147,V147)</f>
        <v/>
      </c>
      <c r="L147" s="15" t="n"/>
      <c r="M147" s="15" t="n"/>
      <c r="N147" s="15" t="n"/>
      <c r="O147" s="15" t="n"/>
      <c r="P147" s="15" t="n"/>
      <c r="Q147" s="15" t="n"/>
      <c r="R147" s="15" t="n"/>
      <c r="S147" s="15" t="n"/>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inlineStr">
        <is>
          <t>Single Booster Pack</t>
        </is>
      </c>
      <c r="K148" s="15">
        <f>SUM(H148,P148,R148,T148,V148)</f>
        <v/>
      </c>
      <c r="L148" s="15" t="n"/>
      <c r="M148" s="15" t="n"/>
      <c r="N148" s="15" t="n"/>
      <c r="O148" s="15" t="n"/>
      <c r="P148" s="15" t="n"/>
      <c r="Q148" s="15" t="n"/>
      <c r="R148" s="15" t="n"/>
      <c r="S148" s="15" t="n"/>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inlineStr">
        <is>
          <t>Single Booster Pack</t>
        </is>
      </c>
      <c r="K149" s="15">
        <f>SUM(H149,P149,R149,T149,V149)</f>
        <v/>
      </c>
      <c r="L149" s="15" t="n"/>
      <c r="M149" s="15" t="n"/>
      <c r="N149" s="15" t="n"/>
      <c r="O149" s="15" t="n"/>
      <c r="P149" s="15" t="n"/>
      <c r="Q149" s="15" t="n"/>
      <c r="R149" s="15" t="n"/>
      <c r="S149" s="15" t="n"/>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inlineStr">
        <is>
          <t>ETB (Elite Trainer Box)</t>
        </is>
      </c>
      <c r="K150" s="15">
        <f>SUM(H150,P150,R150,T150,V150)</f>
        <v/>
      </c>
      <c r="L150" s="15" t="inlineStr">
        <is>
          <t>Yes</t>
        </is>
      </c>
      <c r="M150" s="15" t="n"/>
      <c r="N150" s="15" t="n"/>
      <c r="O150" s="15" t="n"/>
      <c r="P150" s="15" t="n"/>
      <c r="Q150" s="15" t="n"/>
      <c r="R150" s="15" t="n"/>
      <c r="S150" s="15" t="n"/>
      <c r="T150" s="15" t="n"/>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inlineStr">
        <is>
          <t>ETB (Elite Trainer Box)</t>
        </is>
      </c>
      <c r="K151" s="15">
        <f>SUM(H151,P151,R151,T151,V151)</f>
        <v/>
      </c>
      <c r="L151" s="15" t="n"/>
      <c r="M151" s="15" t="n"/>
      <c r="N151" s="15" t="n"/>
      <c r="O151" s="15" t="n"/>
      <c r="P151" s="15" t="n"/>
      <c r="Q151" s="15" t="n"/>
      <c r="R151" s="15" t="n"/>
      <c r="S151" s="15" t="n"/>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inlineStr">
        <is>
          <t>Booster Bundle</t>
        </is>
      </c>
      <c r="K152" s="15">
        <f>SUM(H152,P152,R152,T152,V152)</f>
        <v/>
      </c>
      <c r="L152" s="15" t="n"/>
      <c r="M152" s="15" t="n"/>
      <c r="N152" s="15" t="n"/>
      <c r="O152" s="15" t="n"/>
      <c r="P152" s="15" t="n"/>
      <c r="Q152" s="15" t="n"/>
      <c r="R152" s="15" t="n"/>
      <c r="S152" s="15" t="n"/>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inlineStr">
        <is>
          <t>Single Booster Pack</t>
        </is>
      </c>
      <c r="K153" s="15">
        <f>SUM(H153,P153,R153,T153,V153)</f>
        <v/>
      </c>
      <c r="L153" s="15" t="inlineStr">
        <is>
          <t>Yes</t>
        </is>
      </c>
      <c r="M153" s="15" t="n"/>
      <c r="N153" s="15" t="n"/>
      <c r="O153" s="15" t="n"/>
      <c r="P153" s="15" t="n"/>
      <c r="Q153" s="15" t="n"/>
      <c r="R153" s="15" t="n"/>
      <c r="S153" s="15" t="n"/>
      <c r="T153" s="15" t="n"/>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inlineStr">
        <is>
          <t>Japanese Booster Pack</t>
        </is>
      </c>
      <c r="K154" s="15">
        <f>SUM(H154,P154,R154,T154,V154)</f>
        <v/>
      </c>
      <c r="L154" s="15" t="n"/>
      <c r="M154" s="15" t="n"/>
      <c r="N154" s="15" t="n"/>
      <c r="O154" s="15" t="n"/>
      <c r="P154" s="15" t="n"/>
      <c r="Q154" s="15" t="n"/>
      <c r="R154" s="15" t="n"/>
      <c r="S154" s="15" t="n"/>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inlineStr">
        <is>
          <t>ETB (Elite Trainer Box)</t>
        </is>
      </c>
      <c r="K155" s="15">
        <f>SUM(H155,P155,R155,T155,V155)</f>
        <v/>
      </c>
      <c r="L155" s="15" t="n"/>
      <c r="M155" s="15" t="n"/>
      <c r="N155" s="15" t="n"/>
      <c r="O155" s="15" t="n"/>
      <c r="P155" s="15" t="n"/>
      <c r="Q155" s="15" t="n"/>
      <c r="R155" s="15" t="n"/>
      <c r="S155" s="15" t="n"/>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inlineStr">
        <is>
          <t>Single Booster Pack</t>
        </is>
      </c>
      <c r="K156" s="15">
        <f>SUM(H156,P156,R156,T156,V156)</f>
        <v/>
      </c>
      <c r="L156" s="15" t="inlineStr">
        <is>
          <t>Yes</t>
        </is>
      </c>
      <c r="M156" s="15" t="n"/>
      <c r="N156" s="15" t="n"/>
      <c r="O156" s="15" t="n"/>
      <c r="P156" s="15" t="n"/>
      <c r="Q156" s="15" t="n"/>
      <c r="R156" s="15" t="n"/>
      <c r="S156" s="15" t="n"/>
      <c r="T156" s="15" t="n"/>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inlineStr">
        <is>
          <t>ETB (Elite Trainer Box)</t>
        </is>
      </c>
      <c r="K157" s="15">
        <f>SUM(H157,P157,R157,T157,V157)</f>
        <v/>
      </c>
      <c r="L157" s="15" t="inlineStr">
        <is>
          <t>Yes</t>
        </is>
      </c>
      <c r="M157" s="15" t="n"/>
      <c r="N157" s="15" t="n"/>
      <c r="O157" s="15" t="n"/>
      <c r="P157" s="15" t="n"/>
      <c r="Q157" s="15" t="n"/>
      <c r="R157" s="15" t="n"/>
      <c r="S157" s="15" t="n"/>
      <c r="T157" s="15" t="n"/>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inlineStr">
        <is>
          <t>ETB (Elite Trainer Box)</t>
        </is>
      </c>
      <c r="K158" s="15">
        <f>SUM(H158,P158,R158,T158,V158)</f>
        <v/>
      </c>
      <c r="L158" s="15" t="n"/>
      <c r="M158" s="15" t="n"/>
      <c r="N158" s="15" t="n"/>
      <c r="O158" s="15" t="n"/>
      <c r="P158" s="15" t="n"/>
      <c r="Q158" s="15" t="n"/>
      <c r="R158" s="15" t="n"/>
      <c r="S158" s="15" t="n"/>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inlineStr">
        <is>
          <t>Booster Bundle</t>
        </is>
      </c>
      <c r="K159" s="15">
        <f>SUM(H159,P159,R159,T159,V159)</f>
        <v/>
      </c>
      <c r="L159" s="15" t="n"/>
      <c r="M159" s="15" t="n"/>
      <c r="N159" s="15" t="n"/>
      <c r="O159" s="15" t="n"/>
      <c r="P159" s="15" t="n"/>
      <c r="Q159" s="15" t="n"/>
      <c r="R159" s="15" t="n"/>
      <c r="S159" s="15" t="n"/>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inlineStr">
        <is>
          <t>ETB (Elite Trainer Box)</t>
        </is>
      </c>
      <c r="K160" s="15">
        <f>SUM(H160,P160,R160,T160,V160)</f>
        <v/>
      </c>
      <c r="L160" s="15" t="inlineStr">
        <is>
          <t>Yes</t>
        </is>
      </c>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inlineStr">
        <is>
          <t>Japanese Booster Pack</t>
        </is>
      </c>
      <c r="K161" s="15">
        <f>SUM(H161,P161,R161,T161,V161)</f>
        <v/>
      </c>
      <c r="L161" s="15" t="n"/>
      <c r="M161" s="15" t="n"/>
      <c r="N161" s="15" t="n"/>
      <c r="O161" s="15" t="n"/>
      <c r="P161" s="15" t="n"/>
      <c r="Q161" s="15" t="n"/>
      <c r="R161" s="15" t="n"/>
      <c r="S161" s="15" t="n"/>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inlineStr">
        <is>
          <t>Booster Bundle</t>
        </is>
      </c>
      <c r="K162" s="15">
        <f>SUM(H162,P162,R162,T162,V162)</f>
        <v/>
      </c>
      <c r="L162" s="15" t="n"/>
      <c r="M162" s="15" t="n"/>
      <c r="N162" s="15" t="n"/>
      <c r="O162" s="15" t="n"/>
      <c r="P162" s="15" t="n"/>
      <c r="Q162" s="15" t="n"/>
      <c r="R162" s="15" t="n"/>
      <c r="S162" s="15" t="n"/>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inlineStr">
        <is>
          <t>Single Booster Pack</t>
        </is>
      </c>
      <c r="K163" s="15">
        <f>SUM(H163,P163,R163,T163,V163)</f>
        <v/>
      </c>
      <c r="L163" s="15" t="inlineStr">
        <is>
          <t>Yes</t>
        </is>
      </c>
      <c r="M163" s="15" t="n"/>
      <c r="N163" s="15" t="n"/>
      <c r="O163" s="15" t="n"/>
      <c r="P163" s="15" t="n"/>
      <c r="Q163" s="15" t="n"/>
      <c r="R163" s="15" t="n"/>
      <c r="S163" s="15" t="n"/>
      <c r="T163" s="15" t="n"/>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inlineStr">
        <is>
          <t>ETB (Elite Trainer Box)</t>
        </is>
      </c>
      <c r="K164" s="15">
        <f>SUM(H164,P164,R164,T164,V164)</f>
        <v/>
      </c>
      <c r="L164" s="15" t="n"/>
      <c r="M164" s="15" t="n"/>
      <c r="N164" s="15" t="n"/>
      <c r="O164" s="15" t="n"/>
      <c r="P164" s="15" t="n"/>
      <c r="Q164" s="15" t="n"/>
      <c r="R164" s="15" t="n"/>
      <c r="S164" s="15" t="n"/>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inlineStr">
        <is>
          <t>Booster Bundle</t>
        </is>
      </c>
      <c r="K165" s="15">
        <f>SUM(H165,P165,R165,T165,V165)</f>
        <v/>
      </c>
      <c r="L165" s="15" t="n"/>
      <c r="M165" s="15" t="n"/>
      <c r="N165" s="15" t="n"/>
      <c r="O165" s="15" t="n"/>
      <c r="P165" s="15" t="n"/>
      <c r="Q165" s="15" t="n"/>
      <c r="R165" s="15" t="n"/>
      <c r="S165" s="15" t="n"/>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inlineStr">
        <is>
          <t>ETB (Elite Trainer Box)</t>
        </is>
      </c>
      <c r="K166" s="15">
        <f>SUM(H166,P166,R166,T166,V166)</f>
        <v/>
      </c>
      <c r="L166" s="15" t="inlineStr">
        <is>
          <t>Yes</t>
        </is>
      </c>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inlineStr">
        <is>
          <t>Japanese Booster Pack</t>
        </is>
      </c>
      <c r="K167" s="15">
        <f>SUM(H167,P167,R167,T167,V167)</f>
        <v/>
      </c>
      <c r="L167" s="15" t="n"/>
      <c r="M167" s="15" t="n"/>
      <c r="N167" s="15" t="n"/>
      <c r="O167" s="15" t="n"/>
      <c r="P167" s="15" t="n"/>
      <c r="Q167" s="15" t="n"/>
      <c r="R167" s="15" t="n"/>
      <c r="S167" s="15" t="n"/>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inlineStr">
        <is>
          <t>Booster Bundle</t>
        </is>
      </c>
      <c r="K168" s="15">
        <f>SUM(H168,P168,R168,T168,V168)</f>
        <v/>
      </c>
      <c r="L168" s="15" t="n"/>
      <c r="M168" s="15" t="n"/>
      <c r="N168" s="15" t="n"/>
      <c r="O168" s="15" t="n"/>
      <c r="P168" s="15" t="n"/>
      <c r="Q168" s="15" t="n"/>
      <c r="R168" s="15" t="n"/>
      <c r="S168" s="15" t="n"/>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inlineStr">
        <is>
          <t>Single Booster Pack</t>
        </is>
      </c>
      <c r="K169" s="15">
        <f>SUM(H169,P169,R169,T169,V169)</f>
        <v/>
      </c>
      <c r="L169" s="15" t="inlineStr">
        <is>
          <t>Yes</t>
        </is>
      </c>
      <c r="M169" s="15" t="n"/>
      <c r="N169" s="15" t="n"/>
      <c r="O169" s="15" t="n"/>
      <c r="P169" s="15" t="n"/>
      <c r="Q169" s="15" t="n"/>
      <c r="R169" s="15" t="n"/>
      <c r="S169" s="15" t="n"/>
      <c r="T169" s="15" t="n"/>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inlineStr">
        <is>
          <t>ETB (Elite Trainer Box)</t>
        </is>
      </c>
      <c r="K170" s="15">
        <f>SUM(H170,P170,R170,T170,V170)</f>
        <v/>
      </c>
      <c r="L170" s="15" t="n"/>
      <c r="M170" s="15" t="n"/>
      <c r="N170" s="15" t="n"/>
      <c r="O170" s="15" t="n"/>
      <c r="P170" s="15" t="n"/>
      <c r="Q170" s="15" t="n"/>
      <c r="R170" s="15" t="n"/>
      <c r="S170" s="15" t="n"/>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inlineStr">
        <is>
          <t>Japanese Booster Pack</t>
        </is>
      </c>
      <c r="K171" s="15">
        <f>SUM(H171,P171,R171,T171,V171)</f>
        <v/>
      </c>
      <c r="L171" s="15" t="n"/>
      <c r="M171" s="15" t="n"/>
      <c r="N171" s="15" t="n"/>
      <c r="O171" s="15" t="n"/>
      <c r="P171" s="15" t="n"/>
      <c r="Q171" s="15" t="n"/>
      <c r="R171" s="15" t="n"/>
      <c r="S171" s="15" t="n"/>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inlineStr">
        <is>
          <t>Booster Bundle</t>
        </is>
      </c>
      <c r="K172" s="15">
        <f>SUM(H172,P172,R172,T172,V172)</f>
        <v/>
      </c>
      <c r="L172" s="15" t="n"/>
      <c r="M172" s="15" t="n"/>
      <c r="N172" s="15" t="n"/>
      <c r="O172" s="15" t="n"/>
      <c r="P172" s="15" t="n"/>
      <c r="Q172" s="15" t="n"/>
      <c r="R172" s="15" t="n"/>
      <c r="S172" s="15" t="n"/>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inlineStr">
        <is>
          <t>Single Booster Pack</t>
        </is>
      </c>
      <c r="K173" s="15">
        <f>SUM(H173,P173,R173,T173,V173)</f>
        <v/>
      </c>
      <c r="L173" s="15" t="inlineStr">
        <is>
          <t>Yes</t>
        </is>
      </c>
      <c r="M173" s="15" t="n"/>
      <c r="N173" s="15" t="n"/>
      <c r="O173" s="15" t="n"/>
      <c r="P173" s="15" t="n"/>
      <c r="Q173" s="15" t="n"/>
      <c r="R173" s="15" t="n"/>
      <c r="S173" s="15" t="n"/>
      <c r="T173" s="15" t="n"/>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inlineStr">
        <is>
          <t>ETB (Elite Trainer Box)</t>
        </is>
      </c>
      <c r="K174" s="15">
        <f>SUM(H174,P174,R174,T174,V174)</f>
        <v/>
      </c>
      <c r="L174" s="15" t="inlineStr">
        <is>
          <t>Yes</t>
        </is>
      </c>
      <c r="M174" s="15" t="n"/>
      <c r="N174" s="15" t="n"/>
      <c r="O174" s="15" t="n"/>
      <c r="P174" s="15" t="n"/>
      <c r="Q174" s="15" t="n"/>
      <c r="R174" s="15" t="n"/>
      <c r="S174" s="15" t="n"/>
      <c r="T174" s="15" t="n"/>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inlineStr">
        <is>
          <t>Booster Bundle</t>
        </is>
      </c>
      <c r="K175" s="15">
        <f>SUM(H175,P175,R175,T175,V175)</f>
        <v/>
      </c>
      <c r="L175" s="15" t="n"/>
      <c r="M175" s="15" t="n"/>
      <c r="N175" s="15" t="n"/>
      <c r="O175" s="15" t="n"/>
      <c r="P175" s="15" t="n"/>
      <c r="Q175" s="15" t="n"/>
      <c r="R175" s="15" t="n"/>
      <c r="S175" s="15" t="n"/>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inlineStr">
        <is>
          <t>ETB (Elite Trainer Box)</t>
        </is>
      </c>
      <c r="K176" s="15">
        <f>SUM(H176,P176,R176,T176,V176)</f>
        <v/>
      </c>
      <c r="L176" s="15" t="n"/>
      <c r="M176" s="15" t="n"/>
      <c r="N176" s="15" t="n"/>
      <c r="O176" s="15" t="n"/>
      <c r="P176" s="15" t="n"/>
      <c r="Q176" s="15" t="n"/>
      <c r="R176" s="15" t="n"/>
      <c r="S176" s="15" t="n"/>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inlineStr">
        <is>
          <t>Booster Bundle</t>
        </is>
      </c>
      <c r="K177" s="15">
        <f>SUM(H177,P177,R177,T177,V177)</f>
        <v/>
      </c>
      <c r="L177" s="15" t="n"/>
      <c r="M177" s="15" t="n"/>
      <c r="N177" s="15" t="n"/>
      <c r="O177" s="15" t="n"/>
      <c r="P177" s="15" t="n"/>
      <c r="Q177" s="15" t="n"/>
      <c r="R177" s="15" t="n"/>
      <c r="S177" s="15" t="n"/>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inlineStr">
        <is>
          <t>Single Booster Pack</t>
        </is>
      </c>
      <c r="K178" s="15">
        <f>SUM(H178,P178,R178,T178,V178)</f>
        <v/>
      </c>
      <c r="L178" s="15" t="n"/>
      <c r="M178" s="15" t="n"/>
      <c r="N178" s="15" t="n"/>
      <c r="O178" s="15" t="n"/>
      <c r="P178" s="15" t="n"/>
      <c r="Q178" s="15" t="n"/>
      <c r="R178" s="15" t="n"/>
      <c r="S178" s="15" t="n"/>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inlineStr">
        <is>
          <t>Single Booster Pack</t>
        </is>
      </c>
      <c r="K179" s="15">
        <f>SUM(H179,P179,R179,T179,V179)</f>
        <v/>
      </c>
      <c r="L179" s="15" t="n"/>
      <c r="M179" s="15" t="n"/>
      <c r="N179" s="15" t="n"/>
      <c r="O179" s="15" t="n"/>
      <c r="P179" s="15" t="n"/>
      <c r="Q179" s="15" t="n"/>
      <c r="R179" s="15" t="n"/>
      <c r="S179" s="15" t="n"/>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inlineStr">
        <is>
          <t>Single Booster Pack</t>
        </is>
      </c>
      <c r="K180" s="15">
        <f>SUM(H180,P180,R180,T180,V180)</f>
        <v/>
      </c>
      <c r="L180" s="15" t="n"/>
      <c r="M180" s="15" t="n"/>
      <c r="N180" s="15" t="n"/>
      <c r="O180" s="15" t="n"/>
      <c r="P180" s="15" t="n"/>
      <c r="Q180" s="15" t="n"/>
      <c r="R180" s="15" t="n"/>
      <c r="S180" s="15" t="n"/>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inlineStr">
        <is>
          <t>Booster Bundle</t>
        </is>
      </c>
      <c r="K181" s="15">
        <f>SUM(H181,P181,R181,T181,V181)</f>
        <v/>
      </c>
      <c r="L181" s="15" t="n"/>
      <c r="M181" s="15" t="n"/>
      <c r="N181" s="15" t="n"/>
      <c r="O181" s="15" t="n"/>
      <c r="P181" s="15" t="n"/>
      <c r="Q181" s="15" t="n"/>
      <c r="R181" s="15" t="n"/>
      <c r="S181" s="15" t="n"/>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inlineStr">
        <is>
          <t>Single Booster Pack</t>
        </is>
      </c>
      <c r="K182" s="15">
        <f>SUM(H182,P182,R182,T182,V182)</f>
        <v/>
      </c>
      <c r="L182" s="15" t="n"/>
      <c r="M182" s="15" t="n"/>
      <c r="N182" s="15" t="n"/>
      <c r="O182" s="15" t="n"/>
      <c r="P182" s="15" t="n"/>
      <c r="Q182" s="15" t="n"/>
      <c r="R182" s="15" t="n"/>
      <c r="S182" s="15" t="n"/>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inlineStr">
        <is>
          <t>ETB (Elite Trainer Box)</t>
        </is>
      </c>
      <c r="K183" s="15">
        <f>SUM(H183,P183,R183,T183,V183)</f>
        <v/>
      </c>
      <c r="L183" s="15" t="n"/>
      <c r="M183" s="15" t="n"/>
      <c r="N183" s="15" t="n"/>
      <c r="O183" s="15" t="n"/>
      <c r="P183" s="15" t="n"/>
      <c r="Q183" s="15" t="n"/>
      <c r="R183" s="15" t="n"/>
      <c r="S183" s="15" t="n"/>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inlineStr">
        <is>
          <t>Booster Bundle</t>
        </is>
      </c>
      <c r="K184" s="15">
        <f>SUM(H184,P184,R184,T184,V184)</f>
        <v/>
      </c>
      <c r="L184" s="15" t="n"/>
      <c r="M184" s="15" t="n"/>
      <c r="N184" s="15" t="n"/>
      <c r="O184" s="15" t="n"/>
      <c r="P184" s="15" t="n"/>
      <c r="Q184" s="15" t="n"/>
      <c r="R184" s="15" t="n"/>
      <c r="S184" s="15" t="n"/>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inlineStr">
        <is>
          <t>Single Booster Pack</t>
        </is>
      </c>
      <c r="K185" s="15">
        <f>SUM(H185,P185,R185,T185,V185)</f>
        <v/>
      </c>
      <c r="L185" s="15" t="inlineStr">
        <is>
          <t>Yes</t>
        </is>
      </c>
      <c r="M185" s="15" t="n"/>
      <c r="N185" s="15" t="n"/>
      <c r="O185" s="15" t="n"/>
      <c r="P185" s="15" t="n"/>
      <c r="Q185" s="15" t="n"/>
      <c r="R185" s="15" t="n"/>
      <c r="S185" s="15" t="n"/>
      <c r="T185" s="15" t="n"/>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inlineStr">
        <is>
          <t>Single Booster Pack</t>
        </is>
      </c>
      <c r="K186" s="15">
        <f>SUM(H186,P186,R186,T186,V186)</f>
        <v/>
      </c>
      <c r="L186" s="15" t="n"/>
      <c r="M186" s="15" t="n"/>
      <c r="N186" s="15" t="n"/>
      <c r="O186" s="15" t="n"/>
      <c r="P186" s="15" t="n"/>
      <c r="Q186" s="15" t="n"/>
      <c r="R186" s="15" t="n"/>
      <c r="S186" s="15" t="n"/>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inlineStr">
        <is>
          <t>ETB (Elite Trainer Box)</t>
        </is>
      </c>
      <c r="K187" s="15">
        <f>SUM(H187,P187,R187,T187,V187)</f>
        <v/>
      </c>
      <c r="L187" s="15" t="n"/>
      <c r="M187" s="15" t="n"/>
      <c r="N187" s="15" t="n"/>
      <c r="O187" s="15" t="n"/>
      <c r="P187" s="15" t="n"/>
      <c r="Q187" s="15" t="n"/>
      <c r="R187" s="15" t="n"/>
      <c r="S187" s="15" t="n"/>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inlineStr">
        <is>
          <t>Booster Bundle</t>
        </is>
      </c>
      <c r="K188" s="15">
        <f>SUM(H188,P188,R188,T188,V188)</f>
        <v/>
      </c>
      <c r="L188" s="15" t="n"/>
      <c r="M188" s="15" t="n"/>
      <c r="N188" s="15" t="n"/>
      <c r="O188" s="15" t="n"/>
      <c r="P188" s="15" t="n"/>
      <c r="Q188" s="15" t="n"/>
      <c r="R188" s="15" t="n"/>
      <c r="S188" s="15" t="n"/>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inlineStr">
        <is>
          <t>Single Booster Pack</t>
        </is>
      </c>
      <c r="K189" s="15">
        <f>SUM(H189,P189,R189,T189,V189)</f>
        <v/>
      </c>
      <c r="L189" s="15" t="inlineStr">
        <is>
          <t>Yes</t>
        </is>
      </c>
      <c r="M189" s="15" t="n"/>
      <c r="N189" s="15" t="n"/>
      <c r="O189" s="15" t="n"/>
      <c r="P189" s="15" t="n"/>
      <c r="Q189" s="15" t="n"/>
      <c r="R189" s="15" t="n"/>
      <c r="S189" s="15" t="n"/>
      <c r="T189" s="15" t="n"/>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inlineStr">
        <is>
          <t>Single Booster Pack</t>
        </is>
      </c>
      <c r="K190" s="15">
        <f>SUM(H190,P190,R190,T190,V190)</f>
        <v/>
      </c>
      <c r="L190" s="15" t="n"/>
      <c r="M190" s="15" t="n"/>
      <c r="N190" s="15" t="n"/>
      <c r="O190" s="15" t="n"/>
      <c r="P190" s="15" t="n"/>
      <c r="Q190" s="15" t="n"/>
      <c r="R190" s="15" t="n"/>
      <c r="S190" s="15" t="n"/>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inlineStr">
        <is>
          <t>Single Booster Pack</t>
        </is>
      </c>
      <c r="K191" s="15">
        <f>SUM(H191,P191,R191,T191,V191)</f>
        <v/>
      </c>
      <c r="L191" s="15" t="n"/>
      <c r="M191" s="15" t="n"/>
      <c r="N191" s="15" t="n"/>
      <c r="O191" s="15" t="n"/>
      <c r="P191" s="15" t="n"/>
      <c r="Q191" s="15" t="n"/>
      <c r="R191" s="15" t="n"/>
      <c r="S191" s="15" t="n"/>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inlineStr">
        <is>
          <t>Single Booster Pack</t>
        </is>
      </c>
      <c r="K192" s="15">
        <f>SUM(H192,P192,R192,T192,V192)</f>
        <v/>
      </c>
      <c r="L192" s="15" t="n"/>
      <c r="M192" s="15" t="n"/>
      <c r="N192" s="15" t="n"/>
      <c r="O192" s="15" t="n"/>
      <c r="P192" s="15" t="n"/>
      <c r="Q192" s="15" t="n"/>
      <c r="R192" s="15" t="n"/>
      <c r="S192" s="15" t="n"/>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inlineStr">
        <is>
          <t>Single Booster Pack</t>
        </is>
      </c>
      <c r="K193" s="15">
        <f>SUM(H193,P193,R193,T193,V193)</f>
        <v/>
      </c>
      <c r="L193" s="15" t="inlineStr">
        <is>
          <t>Yes</t>
        </is>
      </c>
      <c r="M193" s="15" t="n"/>
      <c r="N193" s="15" t="n"/>
      <c r="O193" s="15" t="n"/>
      <c r="P193" s="15" t="n"/>
      <c r="Q193" s="15" t="n"/>
      <c r="R193" s="15" t="n"/>
      <c r="S193" s="15" t="n"/>
      <c r="T193" s="15" t="n"/>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inlineStr">
        <is>
          <t>Single Booster Pack</t>
        </is>
      </c>
      <c r="K194" s="15">
        <f>SUM(H194,P194,R194,T194,V194)</f>
        <v/>
      </c>
      <c r="L194" s="15" t="inlineStr">
        <is>
          <t>Yes</t>
        </is>
      </c>
      <c r="M194" s="15" t="n"/>
      <c r="N194" s="15" t="n"/>
      <c r="O194" s="15" t="n"/>
      <c r="P194" s="15" t="n"/>
      <c r="Q194" s="15" t="n"/>
      <c r="R194" s="15" t="n"/>
      <c r="S194" s="15" t="n"/>
      <c r="T194" s="15" t="n"/>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inlineStr">
        <is>
          <t>Single Booster Pack</t>
        </is>
      </c>
      <c r="K195" s="15">
        <f>SUM(H195,P195,R195,T195,V195)</f>
        <v/>
      </c>
      <c r="L195" s="15" t="n"/>
      <c r="M195" s="15" t="n"/>
      <c r="N195" s="15" t="n"/>
      <c r="O195" s="15" t="n"/>
      <c r="P195" s="15" t="n"/>
      <c r="Q195" s="15" t="n"/>
      <c r="R195" s="15" t="n"/>
      <c r="S195" s="15" t="n"/>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inlineStr">
        <is>
          <t>Tin</t>
        </is>
      </c>
      <c r="K196" s="15">
        <f>SUM(H196,P196,R196,T196,V196)</f>
        <v/>
      </c>
      <c r="L196" s="15" t="n"/>
      <c r="M196" s="15" t="n"/>
      <c r="N196" s="15" t="n"/>
      <c r="O196" s="15" t="n"/>
      <c r="P196" s="15" t="n"/>
      <c r="Q196" s="15" t="n"/>
      <c r="R196" s="15" t="n"/>
      <c r="S196" s="15" t="n"/>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inlineStr">
        <is>
          <t>Japanese Booster Pack</t>
        </is>
      </c>
      <c r="K197" s="15">
        <f>SUM(H197,P197,R197,T197,V197)</f>
        <v/>
      </c>
      <c r="L197" s="15" t="n"/>
      <c r="M197" s="15" t="n"/>
      <c r="N197" s="15" t="n"/>
      <c r="O197" s="15" t="n"/>
      <c r="P197" s="15" t="n"/>
      <c r="Q197" s="15" t="n"/>
      <c r="R197" s="15" t="n"/>
      <c r="S197" s="15" t="n"/>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inlineStr">
        <is>
          <t>Tin</t>
        </is>
      </c>
      <c r="K198" s="15">
        <f>SUM(H198,P198,R198,T198,V198)</f>
        <v/>
      </c>
      <c r="L198" s="15" t="n"/>
      <c r="M198" s="15" t="n"/>
      <c r="N198" s="15" t="n"/>
      <c r="O198" s="15" t="n"/>
      <c r="P198" s="15" t="n"/>
      <c r="Q198" s="15" t="n"/>
      <c r="R198" s="15" t="n"/>
      <c r="S198" s="15" t="n"/>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inlineStr">
        <is>
          <t>Single Booster Pack</t>
        </is>
      </c>
      <c r="K199" s="15">
        <f>SUM(H199,P199,R199,T199,V199)</f>
        <v/>
      </c>
      <c r="L199" s="15" t="n"/>
      <c r="M199" s="15" t="n"/>
      <c r="N199" s="15" t="n"/>
      <c r="O199" s="15" t="n"/>
      <c r="P199" s="15" t="n"/>
      <c r="Q199" s="15" t="n"/>
      <c r="R199" s="15" t="n"/>
      <c r="S199" s="15" t="n"/>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inlineStr">
        <is>
          <t>Tin</t>
        </is>
      </c>
      <c r="K200" s="15">
        <f>SUM(H200,P200,R200,T200,V200)</f>
        <v/>
      </c>
      <c r="L200" s="15" t="n"/>
      <c r="M200" s="15" t="n"/>
      <c r="N200" s="15" t="n"/>
      <c r="O200" s="15" t="n"/>
      <c r="P200" s="15" t="n"/>
      <c r="Q200" s="15" t="n"/>
      <c r="R200" s="15" t="n"/>
      <c r="S200" s="15" t="n"/>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inlineStr">
        <is>
          <t>Single Booster Pack</t>
        </is>
      </c>
      <c r="K201" s="15">
        <f>SUM(H201,P201,R201,T201,V201)</f>
        <v/>
      </c>
      <c r="L201" s="15" t="n"/>
      <c r="M201" s="15" t="n"/>
      <c r="N201" s="15" t="n"/>
      <c r="O201" s="15" t="n"/>
      <c r="P201" s="15" t="n"/>
      <c r="Q201" s="15" t="n"/>
      <c r="R201" s="15" t="n"/>
      <c r="S201" s="15" t="n"/>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inlineStr">
        <is>
          <t>Tin</t>
        </is>
      </c>
      <c r="K202" s="15">
        <f>SUM(H202,P202,R202,T202,V202)</f>
        <v/>
      </c>
      <c r="L202" s="15" t="n"/>
      <c r="M202" s="15" t="n"/>
      <c r="N202" s="15" t="n"/>
      <c r="O202" s="15" t="n"/>
      <c r="P202" s="15" t="n"/>
      <c r="Q202" s="15" t="n"/>
      <c r="R202" s="15" t="n"/>
      <c r="S202" s="15" t="n"/>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inlineStr">
        <is>
          <t>Single Booster Pack</t>
        </is>
      </c>
      <c r="K203" s="15">
        <f>SUM(H203,P203,R203,T203,V203)</f>
        <v/>
      </c>
      <c r="L203" s="15" t="n"/>
      <c r="M203" s="15" t="n"/>
      <c r="N203" s="15" t="n"/>
      <c r="O203" s="15" t="n"/>
      <c r="P203" s="15" t="n"/>
      <c r="Q203" s="15" t="n"/>
      <c r="R203" s="15" t="n"/>
      <c r="S203" s="15" t="n"/>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inlineStr">
        <is>
          <t>Collection Box</t>
        </is>
      </c>
      <c r="K204" s="15">
        <f>SUM(H204,P204,R204,T204,V204)</f>
        <v/>
      </c>
      <c r="L204" s="15" t="n"/>
      <c r="M204" s="15" t="n"/>
      <c r="N204" s="15" t="n"/>
      <c r="O204" s="15" t="n"/>
      <c r="P204" s="15" t="n"/>
      <c r="Q204" s="15" t="n"/>
      <c r="R204" s="15" t="n"/>
      <c r="S204" s="15" t="n"/>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inlineStr">
        <is>
          <t>Booster Bundle</t>
        </is>
      </c>
      <c r="K205" s="15">
        <f>SUM(H205,P205,R205,T205,V205)</f>
        <v/>
      </c>
      <c r="L205" s="15" t="n"/>
      <c r="M205" s="15" t="n"/>
      <c r="N205" s="15" t="n"/>
      <c r="O205" s="15" t="n"/>
      <c r="P205" s="15" t="n"/>
      <c r="Q205" s="15" t="n"/>
      <c r="R205" s="15" t="n"/>
      <c r="S205" s="15" t="n"/>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inlineStr">
        <is>
          <t>Collection Box</t>
        </is>
      </c>
      <c r="K206" s="15">
        <f>SUM(H206,P206,R206,T206,V206)</f>
        <v/>
      </c>
      <c r="L206" s="15" t="n"/>
      <c r="M206" s="15" t="n"/>
      <c r="N206" s="15" t="n"/>
      <c r="O206" s="15" t="n"/>
      <c r="P206" s="15" t="n"/>
      <c r="Q206" s="15" t="n"/>
      <c r="R206" s="15" t="n"/>
      <c r="S206" s="15" t="n"/>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inlineStr">
        <is>
          <t>Tin</t>
        </is>
      </c>
      <c r="K207" s="15">
        <f>SUM(H207,P207,R207,T207,V207)</f>
        <v/>
      </c>
      <c r="L207" s="15" t="n"/>
      <c r="M207" s="15" t="n"/>
      <c r="N207" s="15" t="n"/>
      <c r="O207" s="15" t="n"/>
      <c r="P207" s="15" t="n"/>
      <c r="Q207" s="15" t="n"/>
      <c r="R207" s="15" t="n"/>
      <c r="S207" s="15" t="n"/>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inlineStr">
        <is>
          <t>Tin</t>
        </is>
      </c>
      <c r="K208" s="15">
        <f>SUM(H208,P208,R208,T208,V208)</f>
        <v/>
      </c>
      <c r="L208" s="15" t="n"/>
      <c r="M208" s="15" t="n"/>
      <c r="N208" s="15" t="n"/>
      <c r="O208" s="15" t="n"/>
      <c r="P208" s="15" t="n"/>
      <c r="Q208" s="15" t="n"/>
      <c r="R208" s="15" t="n"/>
      <c r="S208" s="15" t="n"/>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inlineStr">
        <is>
          <t>Japanese Booster Pack</t>
        </is>
      </c>
      <c r="K209" s="15">
        <f>SUM(H209,P209,R209,T209,V209)</f>
        <v/>
      </c>
      <c r="L209" s="15" t="n"/>
      <c r="M209" s="15" t="n"/>
      <c r="N209" s="15" t="n"/>
      <c r="O209" s="15" t="n"/>
      <c r="P209" s="15" t="n"/>
      <c r="Q209" s="15" t="n"/>
      <c r="R209" s="15" t="n"/>
      <c r="S209" s="15" t="n"/>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inlineStr">
        <is>
          <t>Booster Bundle</t>
        </is>
      </c>
      <c r="K210" s="15">
        <f>SUM(H210,P210,R210,T210,V210)</f>
        <v/>
      </c>
      <c r="L210" s="15" t="n"/>
      <c r="M210" s="15" t="n"/>
      <c r="N210" s="15" t="n"/>
      <c r="O210" s="15" t="n"/>
      <c r="P210" s="15" t="n"/>
      <c r="Q210" s="15" t="n"/>
      <c r="R210" s="15" t="n"/>
      <c r="S210" s="15" t="n"/>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inlineStr">
        <is>
          <t>Single Booster Pack</t>
        </is>
      </c>
      <c r="K211" s="15">
        <f>SUM(H211,P211,R211,T211,V211)</f>
        <v/>
      </c>
      <c r="L211" s="15" t="n"/>
      <c r="M211" s="15" t="n"/>
      <c r="N211" s="15" t="n"/>
      <c r="O211" s="15" t="n"/>
      <c r="P211" s="15" t="n"/>
      <c r="Q211" s="15" t="n"/>
      <c r="R211" s="15" t="n"/>
      <c r="S211" s="15" t="n"/>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inlineStr">
        <is>
          <t>Booster Bundle</t>
        </is>
      </c>
      <c r="K212" s="15">
        <f>SUM(H212,P212,R212,T212,V212)</f>
        <v/>
      </c>
      <c r="L212" s="15" t="n"/>
      <c r="M212" s="15" t="n"/>
      <c r="N212" s="15" t="n"/>
      <c r="O212" s="15" t="n"/>
      <c r="P212" s="15" t="n"/>
      <c r="Q212" s="15" t="n"/>
      <c r="R212" s="15" t="n"/>
      <c r="S212" s="15" t="n"/>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inlineStr">
        <is>
          <t>Single Booster Pack</t>
        </is>
      </c>
      <c r="K213" s="15">
        <f>SUM(H213,P213,R213,T213,V213)</f>
        <v/>
      </c>
      <c r="L213" s="15" t="n"/>
      <c r="M213" s="15" t="n"/>
      <c r="N213" s="15" t="n"/>
      <c r="O213" s="15" t="n"/>
      <c r="P213" s="15" t="n"/>
      <c r="Q213" s="15" t="n"/>
      <c r="R213" s="15" t="n"/>
      <c r="S213" s="15" t="n"/>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inlineStr">
        <is>
          <t>Blister</t>
        </is>
      </c>
      <c r="K214" s="15">
        <f>SUM(H214,P214,R214,T214,V214)</f>
        <v/>
      </c>
      <c r="L214" s="15" t="n"/>
      <c r="M214" s="15" t="n"/>
      <c r="N214" s="15" t="n"/>
      <c r="O214" s="15" t="n"/>
      <c r="P214" s="15" t="n"/>
      <c r="Q214" s="15" t="n"/>
      <c r="R214" s="15" t="n"/>
      <c r="S214" s="15" t="n"/>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inlineStr">
        <is>
          <t>Single Booster Pack</t>
        </is>
      </c>
      <c r="K215" s="15">
        <f>SUM(H215,P215,R215,T215,V215)</f>
        <v/>
      </c>
      <c r="L215" s="15" t="n"/>
      <c r="M215" s="15" t="n"/>
      <c r="N215" s="15" t="n"/>
      <c r="O215" s="15" t="n"/>
      <c r="P215" s="15" t="n"/>
      <c r="Q215" s="15" t="n"/>
      <c r="R215" s="15" t="n"/>
      <c r="S215" s="15" t="n"/>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4" t="inlineStr">
        <is>
          <t>Crown Zenith</t>
        </is>
      </c>
      <c r="H216" s="15" t="n">
        <v>1</v>
      </c>
      <c r="I216" s="15" t="n"/>
      <c r="J216" s="15" t="inlineStr">
        <is>
          <t>Single Booster Pack</t>
        </is>
      </c>
      <c r="K216" s="15">
        <f>SUM(H216,P216,R216,T216,V216)</f>
        <v/>
      </c>
      <c r="L216" s="15" t="n"/>
      <c r="M216" s="15" t="n"/>
      <c r="N216" s="15" t="n"/>
      <c r="O216" s="15" t="n"/>
      <c r="P216" s="15" t="n"/>
      <c r="Q216" s="15" t="n"/>
      <c r="R216" s="15" t="n"/>
      <c r="S216" s="15" t="n"/>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inlineStr">
        <is>
          <t>Booster Bundle</t>
        </is>
      </c>
      <c r="K217" s="15">
        <f>SUM(H217,P217,R217,T217,V217)</f>
        <v/>
      </c>
      <c r="L217" s="15" t="n"/>
      <c r="M217" s="15" t="n"/>
      <c r="N217" s="15" t="n"/>
      <c r="O217" s="15" t="n"/>
      <c r="P217" s="15" t="n"/>
      <c r="Q217" s="15" t="n"/>
      <c r="R217" s="15" t="n"/>
      <c r="S217" s="15" t="n"/>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inlineStr">
        <is>
          <t>Collection Box</t>
        </is>
      </c>
      <c r="K218" s="15">
        <f>SUM(H218,P218,R218,T218,V218)</f>
        <v/>
      </c>
      <c r="L218" s="15" t="n"/>
      <c r="M218" s="15" t="n"/>
      <c r="N218" s="15" t="n"/>
      <c r="O218" s="15" t="n"/>
      <c r="P218" s="15" t="n"/>
      <c r="Q218" s="15" t="n"/>
      <c r="R218" s="15" t="n"/>
      <c r="S218" s="15" t="n"/>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inlineStr">
        <is>
          <t>Booster Bundle</t>
        </is>
      </c>
      <c r="K219" s="15">
        <f>SUM(H219,P219,R219,T219,V219)</f>
        <v/>
      </c>
      <c r="L219" s="15" t="n"/>
      <c r="M219" s="15" t="n"/>
      <c r="N219" s="15" t="n"/>
      <c r="O219" s="15" t="n"/>
      <c r="P219" s="15" t="n"/>
      <c r="Q219" s="15" t="n"/>
      <c r="R219" s="15" t="n"/>
      <c r="S219" s="15" t="n"/>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inlineStr">
        <is>
          <t>Booster Bundle</t>
        </is>
      </c>
      <c r="K220" s="15">
        <f>SUM(H220,P220,R220,T220,V220)</f>
        <v/>
      </c>
      <c r="L220" s="15" t="n"/>
      <c r="M220" s="15" t="n"/>
      <c r="N220" s="15" t="n"/>
      <c r="O220" s="15" t="n"/>
      <c r="P220" s="15" t="n"/>
      <c r="Q220" s="15" t="n"/>
      <c r="R220" s="15" t="n"/>
      <c r="S220" s="15" t="n"/>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inlineStr">
        <is>
          <t>Japanese Booster Pack</t>
        </is>
      </c>
      <c r="K221" s="15">
        <f>SUM(H221,P221,R221,T221,V221)</f>
        <v/>
      </c>
      <c r="L221" s="15" t="n"/>
      <c r="M221" s="15" t="n"/>
      <c r="N221" s="15" t="n"/>
      <c r="O221" s="15" t="n"/>
      <c r="P221" s="15" t="n"/>
      <c r="Q221" s="15" t="n"/>
      <c r="R221" s="15" t="n"/>
      <c r="S221" s="15" t="n"/>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inlineStr">
        <is>
          <t>Booster Bundle</t>
        </is>
      </c>
      <c r="K222" s="15">
        <f>SUM(H222,P222,R222,T222,V222)</f>
        <v/>
      </c>
      <c r="L222" s="15" t="n"/>
      <c r="M222" s="15" t="n"/>
      <c r="N222" s="15" t="n"/>
      <c r="O222" s="15" t="n"/>
      <c r="P222" s="15" t="n"/>
      <c r="Q222" s="15" t="n"/>
      <c r="R222" s="15" t="n"/>
      <c r="S222" s="15" t="n"/>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4" t="inlineStr">
        <is>
          <t>Chilling Reign</t>
        </is>
      </c>
      <c r="H223" s="15" t="n">
        <v>1</v>
      </c>
      <c r="I223" s="15" t="n"/>
      <c r="J223" s="15" t="inlineStr">
        <is>
          <t>Single Booster Pack</t>
        </is>
      </c>
      <c r="K223" s="15">
        <f>SUM(H223,P223,R223,T223,V223)</f>
        <v/>
      </c>
      <c r="L223" s="15" t="n"/>
      <c r="M223" s="15" t="n"/>
      <c r="N223" s="15" t="n"/>
      <c r="O223" s="15" t="n"/>
      <c r="P223" s="15" t="n"/>
      <c r="Q223" s="15" t="n"/>
      <c r="R223" s="15" t="n"/>
      <c r="S223" s="15" t="n"/>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inlineStr">
        <is>
          <t>Booster Bundle</t>
        </is>
      </c>
      <c r="K224" s="15">
        <f>SUM(H224,P224,R224,T224,V224)</f>
        <v/>
      </c>
      <c r="L224" s="15" t="n"/>
      <c r="M224" s="15" t="n"/>
      <c r="N224" s="15" t="n"/>
      <c r="O224" s="15" t="n"/>
      <c r="P224" s="15" t="n"/>
      <c r="Q224" s="15" t="n"/>
      <c r="R224" s="15" t="n"/>
      <c r="S224" s="15" t="n"/>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inlineStr">
        <is>
          <t>Collection Box</t>
        </is>
      </c>
      <c r="K225" s="15">
        <f>SUM(H225,P225,R225,T225,V225)</f>
        <v/>
      </c>
      <c r="L225" s="15" t="n"/>
      <c r="M225" s="15" t="n"/>
      <c r="N225" s="15" t="n"/>
      <c r="O225" s="15" t="n"/>
      <c r="P225" s="15" t="n"/>
      <c r="Q225" s="15" t="n"/>
      <c r="R225" s="15" t="n"/>
      <c r="S225" s="15" t="n"/>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inlineStr">
        <is>
          <t>Booster Bundle</t>
        </is>
      </c>
      <c r="K226" s="15">
        <f>SUM(H226,P226,R226,T226,V226)</f>
        <v/>
      </c>
      <c r="L226" s="15" t="n"/>
      <c r="M226" s="15" t="n"/>
      <c r="N226" s="15" t="n"/>
      <c r="O226" s="15" t="n"/>
      <c r="P226" s="15" t="n"/>
      <c r="Q226" s="15" t="n"/>
      <c r="R226" s="15" t="n"/>
      <c r="S226" s="15" t="n"/>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inlineStr">
        <is>
          <t>Single Booster Pack</t>
        </is>
      </c>
      <c r="K227" s="15">
        <f>SUM(H227,P227,R227,T227,V227)</f>
        <v/>
      </c>
      <c r="L227" s="15" t="n"/>
      <c r="M227" s="15" t="n"/>
      <c r="N227" s="15" t="n"/>
      <c r="O227" s="15" t="n"/>
      <c r="P227" s="15" t="n"/>
      <c r="Q227" s="15" t="n"/>
      <c r="R227" s="15" t="n"/>
      <c r="S227" s="15" t="n"/>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inlineStr">
        <is>
          <t>Booster Bundle</t>
        </is>
      </c>
      <c r="K228" s="15">
        <f>SUM(H228,P228,R228,T228,V228)</f>
        <v/>
      </c>
      <c r="L228" s="15" t="n"/>
      <c r="M228" s="15" t="n"/>
      <c r="N228" s="15" t="n"/>
      <c r="O228" s="15" t="n"/>
      <c r="P228" s="15" t="n"/>
      <c r="Q228" s="15" t="n"/>
      <c r="R228" s="15" t="n"/>
      <c r="S228" s="15" t="n"/>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4" t="inlineStr">
        <is>
          <t>Rebel Clash</t>
        </is>
      </c>
      <c r="H229" s="15" t="n">
        <v>1</v>
      </c>
      <c r="I229" s="15" t="n"/>
      <c r="J229" s="15" t="inlineStr">
        <is>
          <t>Single Booster Pack</t>
        </is>
      </c>
      <c r="K229" s="15">
        <f>SUM(H229,P229,R229,T229,V229)</f>
        <v/>
      </c>
      <c r="L229" s="15" t="n"/>
      <c r="M229" s="15" t="n"/>
      <c r="N229" s="15" t="n"/>
      <c r="O229" s="15" t="n"/>
      <c r="P229" s="15" t="n"/>
      <c r="Q229" s="15" t="n"/>
      <c r="R229" s="15" t="n"/>
      <c r="S229" s="15" t="n"/>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4" t="inlineStr">
        <is>
          <t>Rebel Clash</t>
        </is>
      </c>
      <c r="H230" s="15" t="n">
        <v>1</v>
      </c>
      <c r="I230" s="15" t="n"/>
      <c r="J230" s="15" t="inlineStr">
        <is>
          <t>Single Booster Pack</t>
        </is>
      </c>
      <c r="K230" s="15">
        <f>SUM(H230,P230,R230,T230,V230)</f>
        <v/>
      </c>
      <c r="L230" s="15" t="n"/>
      <c r="M230" s="15" t="n"/>
      <c r="N230" s="15" t="n"/>
      <c r="O230" s="15" t="n"/>
      <c r="P230" s="15" t="n"/>
      <c r="Q230" s="15" t="n"/>
      <c r="R230" s="15" t="n"/>
      <c r="S230" s="15" t="n"/>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inlineStr">
        <is>
          <t>Booster Bundle</t>
        </is>
      </c>
      <c r="K231" s="15">
        <f>SUM(H231,P231,R231,T231,V231)</f>
        <v/>
      </c>
      <c r="L231" s="15" t="n"/>
      <c r="M231" s="15" t="n"/>
      <c r="N231" s="15" t="n"/>
      <c r="O231" s="15" t="n"/>
      <c r="P231" s="15" t="n"/>
      <c r="Q231" s="15" t="n"/>
      <c r="R231" s="15" t="n"/>
      <c r="S231" s="15" t="n"/>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inlineStr">
        <is>
          <t>Booster Bundle</t>
        </is>
      </c>
      <c r="K232" s="15">
        <f>SUM(H232,P232,R232,T232,V232)</f>
        <v/>
      </c>
      <c r="L232" s="15" t="n"/>
      <c r="M232" s="15" t="n"/>
      <c r="N232" s="15" t="n"/>
      <c r="O232" s="15" t="n"/>
      <c r="P232" s="15" t="n"/>
      <c r="Q232" s="15" t="n"/>
      <c r="R232" s="15" t="n"/>
      <c r="S232" s="15" t="n"/>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inlineStr">
        <is>
          <t>Collection Box</t>
        </is>
      </c>
      <c r="K233" s="15">
        <f>SUM(H233,P233,R233,T233,V233)</f>
        <v/>
      </c>
      <c r="L233" s="15" t="n"/>
      <c r="M233" s="15" t="n"/>
      <c r="N233" s="15" t="n"/>
      <c r="O233" s="15" t="n"/>
      <c r="P233" s="15" t="n"/>
      <c r="Q233" s="15" t="n"/>
      <c r="R233" s="15" t="n"/>
      <c r="S233" s="15" t="n"/>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inlineStr">
        <is>
          <t>ex Premium Collection</t>
        </is>
      </c>
      <c r="K234" s="15">
        <f>SUM(H234,P234,R234,T234,V234)</f>
        <v/>
      </c>
      <c r="L234" s="15" t="n"/>
      <c r="M234" s="15" t="n"/>
      <c r="N234" s="15" t="n"/>
      <c r="O234" s="15" t="n"/>
      <c r="P234" s="15" t="n"/>
      <c r="Q234" s="15" t="n"/>
      <c r="R234" s="15" t="n"/>
      <c r="S234" s="15" t="n"/>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inlineStr">
        <is>
          <t>Single Booster Pack</t>
        </is>
      </c>
      <c r="K235" s="15">
        <f>SUM(H235,P235,R235,T235,V235)</f>
        <v/>
      </c>
      <c r="L235" s="15" t="n"/>
      <c r="M235" s="15" t="n"/>
      <c r="N235" s="15" t="n"/>
      <c r="O235" s="15" t="n"/>
      <c r="P235" s="15" t="n"/>
      <c r="Q235" s="15" t="n"/>
      <c r="R235" s="15" t="n"/>
      <c r="S235" s="15" t="n"/>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inlineStr">
        <is>
          <t>Single Booster Pack</t>
        </is>
      </c>
      <c r="K236" s="15">
        <f>SUM(H236,P236,R236,T236,V236)</f>
        <v/>
      </c>
      <c r="L236" s="15" t="n"/>
      <c r="M236" s="15" t="n"/>
      <c r="N236" s="15" t="n"/>
      <c r="O236" s="15" t="n"/>
      <c r="P236" s="15" t="n"/>
      <c r="Q236" s="15" t="n"/>
      <c r="R236" s="15" t="n"/>
      <c r="S236" s="15" t="n"/>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inlineStr">
        <is>
          <t>Collection Box</t>
        </is>
      </c>
      <c r="K237" s="15">
        <f>SUM(H237,P237,R237,T237,V237)</f>
        <v/>
      </c>
      <c r="L237" s="15" t="n"/>
      <c r="M237" s="15" t="n"/>
      <c r="N237" s="15" t="n"/>
      <c r="O237" s="15" t="n"/>
      <c r="P237" s="15" t="n"/>
      <c r="Q237" s="15" t="n"/>
      <c r="R237" s="15" t="n"/>
      <c r="S237" s="15" t="n"/>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inlineStr">
        <is>
          <t>Collection Box</t>
        </is>
      </c>
      <c r="K238" s="15">
        <f>SUM(H238,P238,R238,T238,V238)</f>
        <v/>
      </c>
      <c r="L238" s="15" t="n"/>
      <c r="M238" s="15" t="n"/>
      <c r="N238" s="15" t="n"/>
      <c r="O238" s="15" t="n"/>
      <c r="P238" s="15" t="n"/>
      <c r="Q238" s="15" t="n"/>
      <c r="R238" s="15" t="n"/>
      <c r="S238" s="15" t="n"/>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inlineStr">
        <is>
          <t>Single Booster Pack</t>
        </is>
      </c>
      <c r="K239" s="15">
        <f>SUM(H239,P239,R239,T239,V239)</f>
        <v/>
      </c>
      <c r="L239" s="15" t="n"/>
      <c r="M239" s="15" t="n"/>
      <c r="N239" s="15" t="n"/>
      <c r="O239" s="15" t="n"/>
      <c r="P239" s="15" t="n"/>
      <c r="Q239" s="15" t="n"/>
      <c r="R239" s="15" t="n"/>
      <c r="S239" s="15" t="n"/>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inlineStr">
        <is>
          <t>Single Booster Pack</t>
        </is>
      </c>
      <c r="K240" s="15">
        <f>SUM(H240,P240,R240,T240,V240)</f>
        <v/>
      </c>
      <c r="L240" s="15" t="n"/>
      <c r="M240" s="15" t="n"/>
      <c r="N240" s="15" t="n"/>
      <c r="O240" s="15" t="n"/>
      <c r="P240" s="15" t="n"/>
      <c r="Q240" s="15" t="n"/>
      <c r="R240" s="15" t="n"/>
      <c r="S240" s="15" t="n"/>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inlineStr">
        <is>
          <t>ex Premium Collection</t>
        </is>
      </c>
      <c r="K241" s="15">
        <f>SUM(H241,P241,R241,T241,V241)</f>
        <v/>
      </c>
      <c r="L241" s="15" t="n"/>
      <c r="M241" s="15" t="n"/>
      <c r="N241" s="15" t="n"/>
      <c r="O241" s="15" t="n"/>
      <c r="P241" s="15" t="n"/>
      <c r="Q241" s="15" t="n"/>
      <c r="R241" s="15" t="n"/>
      <c r="S241" s="15" t="n"/>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inlineStr">
        <is>
          <t>Tin</t>
        </is>
      </c>
      <c r="K242" s="15">
        <f>SUM(H242,P242,R242,T242,V242)</f>
        <v/>
      </c>
      <c r="L242" s="15" t="inlineStr">
        <is>
          <t>Yes</t>
        </is>
      </c>
      <c r="M242" s="15" t="n"/>
      <c r="N242" s="15" t="n"/>
      <c r="O242" s="15" t="n"/>
      <c r="P242" s="15" t="n"/>
      <c r="Q242" s="15" t="n"/>
      <c r="R242" s="15" t="n"/>
      <c r="S242" s="15" t="n"/>
      <c r="T242" s="15" t="n"/>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4" t="inlineStr">
        <is>
          <t>Celebrations</t>
        </is>
      </c>
      <c r="H243" s="15" t="n">
        <v>1</v>
      </c>
      <c r="I243" s="15" t="n"/>
      <c r="J243" s="15" t="inlineStr">
        <is>
          <t>Single Booster Pack</t>
        </is>
      </c>
      <c r="K243" s="15">
        <f>SUM(H243,P243,R243,T243,V243)</f>
        <v/>
      </c>
      <c r="L243" s="15" t="n"/>
      <c r="M243" s="15" t="n"/>
      <c r="N243" s="15" t="n"/>
      <c r="O243" s="15" t="n"/>
      <c r="P243" s="15" t="n"/>
      <c r="Q243" s="15" t="n"/>
      <c r="R243" s="15" t="n"/>
      <c r="S243" s="15" t="n"/>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inlineStr">
        <is>
          <t>Japanese Booster Pack</t>
        </is>
      </c>
      <c r="K244" s="15">
        <f>SUM(H244,P244,R244,T244,V244)</f>
        <v/>
      </c>
      <c r="L244" s="15" t="n"/>
      <c r="M244" s="15" t="n"/>
      <c r="N244" s="15" t="n"/>
      <c r="O244" s="15" t="n"/>
      <c r="P244" s="15" t="n"/>
      <c r="Q244" s="15" t="n"/>
      <c r="R244" s="15" t="n"/>
      <c r="S244" s="15" t="n"/>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inlineStr">
        <is>
          <t>Collection Box</t>
        </is>
      </c>
      <c r="K245" s="15">
        <f>SUM(H245,P245,R245,T245,V245)</f>
        <v/>
      </c>
      <c r="L245" s="15" t="n"/>
      <c r="M245" s="15" t="n"/>
      <c r="N245" s="15" t="n"/>
      <c r="O245" s="15" t="n"/>
      <c r="P245" s="15" t="n"/>
      <c r="Q245" s="15" t="n"/>
      <c r="R245" s="15" t="n"/>
      <c r="S245" s="15" t="n"/>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inlineStr">
        <is>
          <t>Single Booster Pack</t>
        </is>
      </c>
      <c r="K246" s="15">
        <f>SUM(H246,P246,R246,T246,V246)</f>
        <v/>
      </c>
      <c r="L246" s="15" t="n"/>
      <c r="M246" s="15" t="n"/>
      <c r="N246" s="15" t="n"/>
      <c r="O246" s="15" t="n"/>
      <c r="P246" s="15" t="n"/>
      <c r="Q246" s="15" t="n"/>
      <c r="R246" s="15" t="n"/>
      <c r="S246" s="15" t="n"/>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inlineStr">
        <is>
          <t>Tin</t>
        </is>
      </c>
      <c r="K247" s="15">
        <f>SUM(H247,P247,R247,T247,V247)</f>
        <v/>
      </c>
      <c r="L247" s="15" t="n"/>
      <c r="M247" s="15" t="n"/>
      <c r="N247" s="15" t="n"/>
      <c r="O247" s="15" t="n"/>
      <c r="P247" s="15" t="n"/>
      <c r="Q247" s="15" t="n"/>
      <c r="R247" s="15" t="n"/>
      <c r="S247" s="15" t="n"/>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inlineStr">
        <is>
          <t>Blister</t>
        </is>
      </c>
      <c r="K248" s="15">
        <f>SUM(H248,P248,R248,T248,V248)</f>
        <v/>
      </c>
      <c r="L248" s="15" t="n"/>
      <c r="M248" s="15" t="n"/>
      <c r="N248" s="15" t="n"/>
      <c r="O248" s="15" t="n"/>
      <c r="P248" s="15" t="n"/>
      <c r="Q248" s="15" t="n"/>
      <c r="R248" s="15" t="n"/>
      <c r="S248" s="15" t="n"/>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inlineStr">
        <is>
          <t>Single Booster Pack</t>
        </is>
      </c>
      <c r="K249" s="15">
        <f>SUM(H249,P249,R249,T249,V249)</f>
        <v/>
      </c>
      <c r="L249" s="15" t="n"/>
      <c r="M249" s="15" t="n"/>
      <c r="N249" s="15" t="n"/>
      <c r="O249" s="15" t="n"/>
      <c r="P249" s="15" t="n"/>
      <c r="Q249" s="15" t="n"/>
      <c r="R249" s="15" t="n"/>
      <c r="S249" s="15" t="n"/>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inlineStr">
        <is>
          <t>Japanese Booster Pack</t>
        </is>
      </c>
      <c r="K250" s="15">
        <f>SUM(H250,P250,R250,T250,V250)</f>
        <v/>
      </c>
      <c r="L250" s="15" t="n"/>
      <c r="M250" s="15" t="n"/>
      <c r="N250" s="15" t="n"/>
      <c r="O250" s="15" t="n"/>
      <c r="P250" s="15" t="n"/>
      <c r="Q250" s="15" t="n"/>
      <c r="R250" s="15" t="n"/>
      <c r="S250" s="15" t="n"/>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inlineStr">
        <is>
          <t>Single Booster Pack</t>
        </is>
      </c>
      <c r="K251" s="15">
        <f>SUM(H251,P251,R251,T251,V251)</f>
        <v/>
      </c>
      <c r="L251" s="15" t="n"/>
      <c r="M251" s="15" t="n"/>
      <c r="N251" s="15" t="n"/>
      <c r="O251" s="15" t="n"/>
      <c r="P251" s="15" t="n"/>
      <c r="Q251" s="15" t="n"/>
      <c r="R251" s="15" t="n"/>
      <c r="S251" s="15" t="n"/>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inlineStr">
        <is>
          <t>Single Booster Pack</t>
        </is>
      </c>
      <c r="K252" s="15">
        <f>SUM(H252,P252,R252,T252,V252)</f>
        <v/>
      </c>
      <c r="L252" s="15" t="n"/>
      <c r="M252" s="15" t="n"/>
      <c r="N252" s="15" t="n"/>
      <c r="O252" s="15" t="n"/>
      <c r="P252" s="15" t="n"/>
      <c r="Q252" s="15" t="n"/>
      <c r="R252" s="15" t="n"/>
      <c r="S252" s="15" t="n"/>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inlineStr">
        <is>
          <t>Korean Booster Pack</t>
        </is>
      </c>
      <c r="K253" s="15">
        <f>SUM(H253,P253,R253,T253,V253)</f>
        <v/>
      </c>
      <c r="L253" s="15" t="n"/>
      <c r="M253" s="15" t="n"/>
      <c r="N253" s="15" t="n"/>
      <c r="O253" s="15" t="n"/>
      <c r="P253" s="15" t="n"/>
      <c r="Q253" s="15" t="n"/>
      <c r="R253" s="15" t="n"/>
      <c r="S253" s="15" t="n"/>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inlineStr">
        <is>
          <t>Collection Box</t>
        </is>
      </c>
      <c r="K254" s="15">
        <f>SUM(H254,P254,R254,T254,V254)</f>
        <v/>
      </c>
      <c r="L254" s="15" t="n"/>
      <c r="M254" s="15" t="n"/>
      <c r="N254" s="15" t="n"/>
      <c r="O254" s="15" t="n"/>
      <c r="P254" s="15" t="n"/>
      <c r="Q254" s="15" t="n"/>
      <c r="R254" s="15" t="n"/>
      <c r="S254" s="15" t="n"/>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inlineStr">
        <is>
          <t>Blister</t>
        </is>
      </c>
      <c r="K255" s="15">
        <f>SUM(H255,P255,R255,T255,V255)</f>
        <v/>
      </c>
      <c r="L255" s="15" t="n"/>
      <c r="M255" s="15" t="n"/>
      <c r="N255" s="15" t="n"/>
      <c r="O255" s="15" t="n"/>
      <c r="P255" s="15" t="n"/>
      <c r="Q255" s="15" t="n"/>
      <c r="R255" s="15" t="n"/>
      <c r="S255" s="15" t="n"/>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inlineStr">
        <is>
          <t>Single Booster Pack</t>
        </is>
      </c>
      <c r="K256" s="15">
        <f>SUM(H256,P256,R256,T256,V256)</f>
        <v/>
      </c>
      <c r="L256" s="15" t="n"/>
      <c r="M256" s="15" t="n"/>
      <c r="N256" s="15" t="n"/>
      <c r="O256" s="15" t="n"/>
      <c r="P256" s="15" t="n"/>
      <c r="Q256" s="15" t="n"/>
      <c r="R256" s="15" t="n"/>
      <c r="S256" s="15" t="n"/>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inlineStr">
        <is>
          <t>Collection Box</t>
        </is>
      </c>
      <c r="K257" s="15">
        <f>SUM(H257,P257,R257,T257,V257)</f>
        <v/>
      </c>
      <c r="L257" s="15" t="n"/>
      <c r="M257" s="15" t="n"/>
      <c r="N257" s="15" t="n"/>
      <c r="O257" s="15" t="n"/>
      <c r="P257" s="15" t="n"/>
      <c r="Q257" s="15" t="n"/>
      <c r="R257" s="15" t="n"/>
      <c r="S257" s="15" t="n"/>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inlineStr">
        <is>
          <t>Single Booster Pack</t>
        </is>
      </c>
      <c r="K258" s="15">
        <f>SUM(H258,P258,R258,T258,V258)</f>
        <v/>
      </c>
      <c r="L258" s="15" t="n"/>
      <c r="M258" s="15" t="n"/>
      <c r="N258" s="15" t="n"/>
      <c r="O258" s="15" t="n"/>
      <c r="P258" s="15" t="n"/>
      <c r="Q258" s="15" t="n"/>
      <c r="R258" s="15" t="n"/>
      <c r="S258" s="15" t="n"/>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inlineStr">
        <is>
          <t>ETB (Elite Trainer Box)</t>
        </is>
      </c>
      <c r="K259" s="15">
        <f>SUM(H259,P259,R259,T259,V259)</f>
        <v/>
      </c>
      <c r="L259" s="15" t="n"/>
      <c r="M259" s="15" t="n"/>
      <c r="N259" s="15" t="n"/>
      <c r="O259" s="15" t="n"/>
      <c r="P259" s="15" t="n"/>
      <c r="Q259" s="15" t="n"/>
      <c r="R259" s="15" t="n"/>
      <c r="S259" s="15" t="n"/>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inlineStr">
        <is>
          <t>Single Booster Pack</t>
        </is>
      </c>
      <c r="K260" s="15">
        <f>SUM(H260,P260,R260,T260,V260)</f>
        <v/>
      </c>
      <c r="L260" s="15" t="n"/>
      <c r="M260" s="15" t="n"/>
      <c r="N260" s="15" t="n"/>
      <c r="O260" s="15" t="n"/>
      <c r="P260" s="15" t="n"/>
      <c r="Q260" s="15" t="n"/>
      <c r="R260" s="15" t="n"/>
      <c r="S260" s="15" t="n"/>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inlineStr">
        <is>
          <t>ETB (Elite Trainer Box)</t>
        </is>
      </c>
      <c r="K261" s="15">
        <f>SUM(H261,P261,R261,T261,V261)</f>
        <v/>
      </c>
      <c r="L261" s="15" t="n"/>
      <c r="M261" s="15" t="n"/>
      <c r="N261" s="15" t="n"/>
      <c r="O261" s="15" t="n"/>
      <c r="P261" s="15" t="n"/>
      <c r="Q261" s="15" t="n"/>
      <c r="R261" s="15" t="n"/>
      <c r="S261" s="15" t="n"/>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inlineStr">
        <is>
          <t>Single Booster Pack</t>
        </is>
      </c>
      <c r="K262" s="15">
        <f>SUM(H262,P262,R262,T262,V262)</f>
        <v/>
      </c>
      <c r="L262" s="15" t="n"/>
      <c r="M262" s="15" t="n"/>
      <c r="N262" s="15" t="n"/>
      <c r="O262" s="15" t="n"/>
      <c r="P262" s="15" t="n"/>
      <c r="Q262" s="15" t="n"/>
      <c r="R262" s="15" t="n"/>
      <c r="S262" s="15" t="n"/>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inlineStr">
        <is>
          <t>ETB (Elite Trainer Box)</t>
        </is>
      </c>
      <c r="K263" s="15">
        <f>SUM(H263,P263,R263,T263,V263)</f>
        <v/>
      </c>
      <c r="L263" s="15" t="n"/>
      <c r="M263" s="15" t="n"/>
      <c r="N263" s="15" t="n"/>
      <c r="O263" s="15" t="n"/>
      <c r="P263" s="15" t="n"/>
      <c r="Q263" s="15" t="n"/>
      <c r="R263" s="15" t="n"/>
      <c r="S263" s="15" t="n"/>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inlineStr">
        <is>
          <t>Single Booster Pack</t>
        </is>
      </c>
      <c r="K264" s="15">
        <f>SUM(H264,P264,R264,T264,V264)</f>
        <v/>
      </c>
      <c r="L264" s="15" t="n"/>
      <c r="M264" s="15" t="n"/>
      <c r="N264" s="15" t="n"/>
      <c r="O264" s="15" t="n"/>
      <c r="P264" s="15" t="n"/>
      <c r="Q264" s="15" t="n"/>
      <c r="R264" s="15" t="n"/>
      <c r="S264" s="15" t="n"/>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inlineStr">
        <is>
          <t>ETB (Elite Trainer Box)</t>
        </is>
      </c>
      <c r="K265" s="15">
        <f>SUM(H265,P265,R265,T265,V265)</f>
        <v/>
      </c>
      <c r="L265" s="15" t="n"/>
      <c r="M265" s="15" t="n"/>
      <c r="N265" s="15" t="n"/>
      <c r="O265" s="15" t="n"/>
      <c r="P265" s="15" t="n"/>
      <c r="Q265" s="15" t="n"/>
      <c r="R265" s="15" t="n"/>
      <c r="S265" s="15" t="n"/>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inlineStr">
        <is>
          <t>Single Booster Pack</t>
        </is>
      </c>
      <c r="K266" s="15">
        <f>SUM(H266,P266,R266,T266,V266)</f>
        <v/>
      </c>
      <c r="L266" s="15" t="n"/>
      <c r="M266" s="15" t="n"/>
      <c r="N266" s="15" t="n"/>
      <c r="O266" s="15" t="n"/>
      <c r="P266" s="15" t="n"/>
      <c r="Q266" s="15" t="n"/>
      <c r="R266" s="15" t="n"/>
      <c r="S266" s="15" t="n"/>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inlineStr">
        <is>
          <t>ETB (Elite Trainer Box)</t>
        </is>
      </c>
      <c r="K267" s="15">
        <f>SUM(H267,P267,R267,T267,V267)</f>
        <v/>
      </c>
      <c r="L267" s="15" t="n"/>
      <c r="M267" s="15" t="n"/>
      <c r="N267" s="15" t="n"/>
      <c r="O267" s="15" t="n"/>
      <c r="P267" s="15" t="n"/>
      <c r="Q267" s="15" t="n"/>
      <c r="R267" s="15" t="n"/>
      <c r="S267" s="15" t="n"/>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4" t="inlineStr">
        <is>
          <t>Shining Fates</t>
        </is>
      </c>
      <c r="H268" s="15" t="n">
        <v>1</v>
      </c>
      <c r="I268" s="15" t="n"/>
      <c r="J268" s="15" t="inlineStr">
        <is>
          <t>Single Booster Pack</t>
        </is>
      </c>
      <c r="K268" s="15">
        <f>SUM(H268,P268,R268,T268,V268)</f>
        <v/>
      </c>
      <c r="L268" s="15" t="n"/>
      <c r="M268" s="15" t="n"/>
      <c r="N268" s="15" t="n"/>
      <c r="O268" s="15" t="n"/>
      <c r="P268" s="15" t="n"/>
      <c r="Q268" s="15" t="n"/>
      <c r="R268" s="15" t="n"/>
      <c r="S268" s="15" t="n"/>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inlineStr">
        <is>
          <t>ETB (Elite Trainer Box)</t>
        </is>
      </c>
      <c r="K269" s="15">
        <f>SUM(H269,P269,R269,T269,V269)</f>
        <v/>
      </c>
      <c r="L269" s="15" t="n"/>
      <c r="M269" s="15" t="n"/>
      <c r="N269" s="15" t="n"/>
      <c r="O269" s="15" t="n"/>
      <c r="P269" s="15" t="n"/>
      <c r="Q269" s="15" t="n"/>
      <c r="R269" s="15" t="n"/>
      <c r="S269" s="15" t="n"/>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4" t="inlineStr">
        <is>
          <t>Shining Fates</t>
        </is>
      </c>
      <c r="H270" s="15" t="n">
        <v>1</v>
      </c>
      <c r="I270" s="15" t="n"/>
      <c r="J270" s="15" t="inlineStr">
        <is>
          <t>Single Booster Pack</t>
        </is>
      </c>
      <c r="K270" s="15">
        <f>SUM(H270,P270,R270,T270,V270)</f>
        <v/>
      </c>
      <c r="L270" s="15" t="n"/>
      <c r="M270" s="15" t="n"/>
      <c r="N270" s="15" t="n"/>
      <c r="O270" s="15" t="n"/>
      <c r="P270" s="15" t="n"/>
      <c r="Q270" s="15" t="n"/>
      <c r="R270" s="15" t="n"/>
      <c r="S270" s="15" t="n"/>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inlineStr">
        <is>
          <t>ETB (Elite Trainer Box)</t>
        </is>
      </c>
      <c r="K271" s="15">
        <f>SUM(H271,P271,R271,T271,V271)</f>
        <v/>
      </c>
      <c r="L271" s="15" t="n"/>
      <c r="M271" s="15" t="n"/>
      <c r="N271" s="15" t="n"/>
      <c r="O271" s="15" t="n"/>
      <c r="P271" s="15" t="n"/>
      <c r="Q271" s="15" t="n"/>
      <c r="R271" s="15" t="n"/>
      <c r="S271" s="15" t="n"/>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inlineStr">
        <is>
          <t>Single Booster Pack</t>
        </is>
      </c>
      <c r="K272" s="15">
        <f>SUM(H272,P272,R272,T272,V272)</f>
        <v/>
      </c>
      <c r="L272" s="15" t="n"/>
      <c r="M272" s="15" t="n"/>
      <c r="N272" s="15" t="n"/>
      <c r="O272" s="15" t="n"/>
      <c r="P272" s="15" t="n"/>
      <c r="Q272" s="15" t="n"/>
      <c r="R272" s="15" t="n"/>
      <c r="S272" s="15" t="n"/>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inlineStr">
        <is>
          <t>ETB (Elite Trainer Box)</t>
        </is>
      </c>
      <c r="K273" s="15">
        <f>SUM(H273,P273,R273,T273,V273)</f>
        <v/>
      </c>
      <c r="L273" s="15" t="n"/>
      <c r="M273" s="15" t="n"/>
      <c r="N273" s="15" t="n"/>
      <c r="O273" s="15" t="n"/>
      <c r="P273" s="15" t="n"/>
      <c r="Q273" s="15" t="n"/>
      <c r="R273" s="15" t="n"/>
      <c r="S273" s="15" t="n"/>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inlineStr">
        <is>
          <t>Single Booster Pack</t>
        </is>
      </c>
      <c r="K274" s="15">
        <f>SUM(H274,P274,R274,T274,V274)</f>
        <v/>
      </c>
      <c r="L274" s="15" t="n"/>
      <c r="M274" s="15" t="n"/>
      <c r="N274" s="15" t="n"/>
      <c r="O274" s="15" t="n"/>
      <c r="P274" s="15" t="n"/>
      <c r="Q274" s="15" t="n"/>
      <c r="R274" s="15" t="n"/>
      <c r="S274" s="15" t="n"/>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inlineStr">
        <is>
          <t>ETB (Elite Trainer Box)</t>
        </is>
      </c>
      <c r="K275" s="15">
        <f>SUM(H275,P275,R275,T275,V275)</f>
        <v/>
      </c>
      <c r="L275" s="15" t="n"/>
      <c r="M275" s="15" t="n"/>
      <c r="N275" s="15" t="n"/>
      <c r="O275" s="15" t="n"/>
      <c r="P275" s="15" t="n"/>
      <c r="Q275" s="15" t="n"/>
      <c r="R275" s="15" t="n"/>
      <c r="S275" s="15" t="n"/>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inlineStr">
        <is>
          <t>ex Premium Collection</t>
        </is>
      </c>
      <c r="K276" s="15">
        <f>SUM(H276,P276,R276,T276,V276)</f>
        <v/>
      </c>
      <c r="L276" s="15" t="n"/>
      <c r="M276" s="15" t="n"/>
      <c r="N276" s="15" t="n"/>
      <c r="O276" s="15" t="n"/>
      <c r="P276" s="15" t="n"/>
      <c r="Q276" s="15" t="n"/>
      <c r="R276" s="15" t="n"/>
      <c r="S276" s="15" t="n"/>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inlineStr">
        <is>
          <t>Single Booster Pack</t>
        </is>
      </c>
      <c r="K277" s="15">
        <f>SUM(H277,P277,R277,T277,V277)</f>
        <v/>
      </c>
      <c r="L277" s="15" t="n"/>
      <c r="M277" s="15" t="n"/>
      <c r="N277" s="15" t="n"/>
      <c r="O277" s="15" t="n"/>
      <c r="P277" s="15" t="n"/>
      <c r="Q277" s="15" t="n"/>
      <c r="R277" s="15" t="n"/>
      <c r="S277" s="15" t="n"/>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inlineStr">
        <is>
          <t>Blister</t>
        </is>
      </c>
      <c r="K278" s="15">
        <f>SUM(H278,P278,R278,T278,V278)</f>
        <v/>
      </c>
      <c r="L278" s="15" t="n"/>
      <c r="M278" s="15" t="n"/>
      <c r="N278" s="15" t="n"/>
      <c r="O278" s="15" t="n"/>
      <c r="P278" s="15" t="n"/>
      <c r="Q278" s="15" t="n"/>
      <c r="R278" s="15" t="n"/>
      <c r="S278" s="15" t="n"/>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inlineStr">
        <is>
          <t>Single Booster Pack</t>
        </is>
      </c>
      <c r="K279" s="15">
        <f>SUM(H279,P279,R279,T279,V279)</f>
        <v/>
      </c>
      <c r="L279" s="15" t="n"/>
      <c r="M279" s="15" t="n"/>
      <c r="N279" s="15" t="n"/>
      <c r="O279" s="15" t="n"/>
      <c r="P279" s="15" t="n"/>
      <c r="Q279" s="15" t="n"/>
      <c r="R279" s="15" t="n"/>
      <c r="S279" s="15" t="n"/>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inlineStr">
        <is>
          <t>Korean Booster Pack</t>
        </is>
      </c>
      <c r="K280" s="15">
        <f>SUM(H280,P280,R280,T280,V280)</f>
        <v/>
      </c>
      <c r="L280" s="15" t="n"/>
      <c r="M280" s="15" t="n"/>
      <c r="N280" s="15" t="n"/>
      <c r="O280" s="15" t="n"/>
      <c r="P280" s="15" t="n"/>
      <c r="Q280" s="15" t="n"/>
      <c r="R280" s="15" t="n"/>
      <c r="S280" s="15" t="n"/>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inlineStr">
        <is>
          <t>Single Booster Pack</t>
        </is>
      </c>
      <c r="K281" s="15">
        <f>SUM(H281,P281,R281,T281,V281)</f>
        <v/>
      </c>
      <c r="L281" s="15" t="n"/>
      <c r="M281" s="15" t="n"/>
      <c r="N281" s="15" t="n"/>
      <c r="O281" s="15" t="n"/>
      <c r="P281" s="15" t="n"/>
      <c r="Q281" s="15" t="n"/>
      <c r="R281" s="15" t="n"/>
      <c r="S281" s="15" t="n"/>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inlineStr">
        <is>
          <t>Korean Booster Pack</t>
        </is>
      </c>
      <c r="K282" s="15">
        <f>SUM(H282,P282,R282,T282,V282)</f>
        <v/>
      </c>
      <c r="L282" s="15" t="n"/>
      <c r="M282" s="15" t="n"/>
      <c r="N282" s="15" t="n"/>
      <c r="O282" s="15" t="n"/>
      <c r="P282" s="15" t="n"/>
      <c r="Q282" s="15" t="n"/>
      <c r="R282" s="15" t="n"/>
      <c r="S282" s="15" t="n"/>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inlineStr">
        <is>
          <t>Single Booster Pack</t>
        </is>
      </c>
      <c r="K283" s="15">
        <f>SUM(H283,P283,R283,T283,V283)</f>
        <v/>
      </c>
      <c r="L283" s="15" t="n"/>
      <c r="M283" s="15" t="n"/>
      <c r="N283" s="15" t="n"/>
      <c r="O283" s="15" t="n"/>
      <c r="P283" s="15" t="n"/>
      <c r="Q283" s="15" t="n"/>
      <c r="R283" s="15" t="n"/>
      <c r="S283" s="15" t="n"/>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inlineStr">
        <is>
          <t>Blister</t>
        </is>
      </c>
      <c r="K284" s="15">
        <f>SUM(H284,P284,R284,T284,V284)</f>
        <v/>
      </c>
      <c r="L284" s="15" t="n"/>
      <c r="M284" s="15" t="n"/>
      <c r="N284" s="15" t="n"/>
      <c r="O284" s="15" t="n"/>
      <c r="P284" s="15" t="n"/>
      <c r="Q284" s="15" t="n"/>
      <c r="R284" s="15" t="n"/>
      <c r="S284" s="15" t="n"/>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inlineStr">
        <is>
          <t>Tin</t>
        </is>
      </c>
      <c r="K285" s="15">
        <f>SUM(H285,P285,R285,T285,V285)</f>
        <v/>
      </c>
      <c r="L285" s="15" t="inlineStr">
        <is>
          <t>Yes</t>
        </is>
      </c>
      <c r="M285" s="15" t="n"/>
      <c r="N285" s="15" t="n"/>
      <c r="O285" s="15" t="n"/>
      <c r="P285" s="15" t="n"/>
      <c r="Q285" s="15" t="n"/>
      <c r="R285" s="15" t="n"/>
      <c r="S285" s="15" t="n"/>
      <c r="T285" s="15" t="n"/>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inlineStr">
        <is>
          <t>Single Booster Pack</t>
        </is>
      </c>
      <c r="K286" s="15">
        <f>SUM(H286,P286,R286,T286,V286)</f>
        <v/>
      </c>
      <c r="L286" s="15" t="n"/>
      <c r="M286" s="15" t="n"/>
      <c r="N286" s="15" t="n"/>
      <c r="O286" s="15" t="n"/>
      <c r="P286" s="15" t="n"/>
      <c r="Q286" s="15" t="n"/>
      <c r="R286" s="15" t="n"/>
      <c r="S286" s="15" t="n"/>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inlineStr">
        <is>
          <t>Blister</t>
        </is>
      </c>
      <c r="K287" s="15">
        <f>SUM(H287,P287,R287,T287,V287)</f>
        <v/>
      </c>
      <c r="L287" s="15" t="n"/>
      <c r="M287" s="15" t="n"/>
      <c r="N287" s="15" t="n"/>
      <c r="O287" s="15" t="n"/>
      <c r="P287" s="15" t="n"/>
      <c r="Q287" s="15" t="n"/>
      <c r="R287" s="15" t="n"/>
      <c r="S287" s="15" t="n"/>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inlineStr">
        <is>
          <t>Single Booster Pack</t>
        </is>
      </c>
      <c r="K288" s="15">
        <f>SUM(H288,P288,R288,T288,V288)</f>
        <v/>
      </c>
      <c r="L288" s="15" t="n"/>
      <c r="M288" s="15" t="n"/>
      <c r="N288" s="15" t="n"/>
      <c r="O288" s="15" t="n"/>
      <c r="P288" s="15" t="n"/>
      <c r="Q288" s="15" t="n"/>
      <c r="R288" s="15" t="n"/>
      <c r="S288" s="15" t="n"/>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inlineStr">
        <is>
          <t>Single Booster Pack</t>
        </is>
      </c>
      <c r="K289" s="15">
        <f>SUM(H289,P289,R289,T289,V289)</f>
        <v/>
      </c>
      <c r="L289" s="15" t="n"/>
      <c r="M289" s="15" t="n"/>
      <c r="N289" s="15" t="n"/>
      <c r="O289" s="15" t="n"/>
      <c r="P289" s="15" t="n"/>
      <c r="Q289" s="15" t="n"/>
      <c r="R289" s="15" t="n"/>
      <c r="S289" s="15" t="n"/>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inlineStr">
        <is>
          <t>Blister</t>
        </is>
      </c>
      <c r="K290" s="15">
        <f>SUM(H290,P290,R290,T290,V290)</f>
        <v/>
      </c>
      <c r="L290" s="15" t="n"/>
      <c r="M290" s="15" t="n"/>
      <c r="N290" s="15" t="n"/>
      <c r="O290" s="15" t="n"/>
      <c r="P290" s="15" t="n"/>
      <c r="Q290" s="15" t="n"/>
      <c r="R290" s="15" t="n"/>
      <c r="S290" s="15" t="n"/>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inlineStr">
        <is>
          <t>Single Booster Pack</t>
        </is>
      </c>
      <c r="K291" s="15">
        <f>SUM(H291,P291,R291,T291,V291)</f>
        <v/>
      </c>
      <c r="L291" s="15" t="n"/>
      <c r="M291" s="15" t="n"/>
      <c r="N291" s="15" t="n"/>
      <c r="O291" s="15" t="n"/>
      <c r="P291" s="15" t="n"/>
      <c r="Q291" s="15" t="n"/>
      <c r="R291" s="15" t="n"/>
      <c r="S291" s="15" t="n"/>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inlineStr">
        <is>
          <t>Single Booster Pack</t>
        </is>
      </c>
      <c r="K292" s="15">
        <f>SUM(H292,P292,R292,T292,V292)</f>
        <v/>
      </c>
      <c r="L292" s="15" t="n"/>
      <c r="M292" s="15" t="n"/>
      <c r="N292" s="15" t="n"/>
      <c r="O292" s="15" t="n"/>
      <c r="P292" s="15" t="n"/>
      <c r="Q292" s="15" t="n"/>
      <c r="R292" s="15" t="n"/>
      <c r="S292" s="15" t="n"/>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inlineStr">
        <is>
          <t>Single Booster Pack</t>
        </is>
      </c>
      <c r="K293" s="15">
        <f>SUM(H293,P293,R293,T293,V293)</f>
        <v/>
      </c>
      <c r="L293" s="15" t="n"/>
      <c r="M293" s="15" t="n"/>
      <c r="N293" s="15" t="n"/>
      <c r="O293" s="15" t="n"/>
      <c r="P293" s="15" t="n"/>
      <c r="Q293" s="15" t="n"/>
      <c r="R293" s="15" t="n"/>
      <c r="S293" s="15" t="n"/>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inlineStr">
        <is>
          <t>Single Booster Pack</t>
        </is>
      </c>
      <c r="K294" s="15">
        <f>SUM(H294,P294,R294,T294,V294)</f>
        <v/>
      </c>
      <c r="L294" s="15" t="n"/>
      <c r="M294" s="15" t="n"/>
      <c r="N294" s="15" t="n"/>
      <c r="O294" s="15" t="n"/>
      <c r="P294" s="15" t="n"/>
      <c r="Q294" s="15" t="n"/>
      <c r="R294" s="15" t="n"/>
      <c r="S294" s="15" t="n"/>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inlineStr">
        <is>
          <t>Single Booster Pack</t>
        </is>
      </c>
      <c r="K295" s="15">
        <f>SUM(H295,P295,R295,T295,V295)</f>
        <v/>
      </c>
      <c r="L295" s="15" t="n"/>
      <c r="M295" s="15" t="n"/>
      <c r="N295" s="15" t="n"/>
      <c r="O295" s="15" t="n"/>
      <c r="P295" s="15" t="n"/>
      <c r="Q295" s="15" t="n"/>
      <c r="R295" s="15" t="n"/>
      <c r="S295" s="15" t="n"/>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inlineStr">
        <is>
          <t>Tin</t>
        </is>
      </c>
      <c r="K296" s="15">
        <f>SUM(H296,P296,R296,T296,V296)</f>
        <v/>
      </c>
      <c r="L296" s="15" t="n"/>
      <c r="M296" s="15" t="n"/>
      <c r="N296" s="15" t="n"/>
      <c r="O296" s="15" t="n"/>
      <c r="P296" s="15" t="n"/>
      <c r="Q296" s="15" t="n"/>
      <c r="R296" s="15" t="n"/>
      <c r="S296" s="15" t="n"/>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inlineStr">
        <is>
          <t>Single Booster Pack</t>
        </is>
      </c>
      <c r="K297" s="15">
        <f>SUM(H297,P297,R297,T297,V297)</f>
        <v/>
      </c>
      <c r="L297" s="15" t="inlineStr">
        <is>
          <t>Yes</t>
        </is>
      </c>
      <c r="M297" s="15" t="inlineStr">
        <is>
          <t>Ascended Heroes - Stunfisk ex - Double Silver Star - Ultra Rare</t>
        </is>
      </c>
      <c r="N297" s="15" t="n"/>
      <c r="O297" s="15" t="n"/>
      <c r="P297" s="15" t="n"/>
      <c r="Q297" s="15" t="n"/>
      <c r="R297" s="15" t="n"/>
      <c r="S297" s="15" t="n"/>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3</v>
      </c>
      <c r="I298" s="15" t="n"/>
      <c r="J298" s="15" t="inlineStr">
        <is>
          <t>Single Booster Pack</t>
        </is>
      </c>
      <c r="K298" s="15">
        <f>SUM(H298,P298,R298,T298,V298)</f>
        <v/>
      </c>
      <c r="L298" s="15" t="inlineStr">
        <is>
          <t>No</t>
        </is>
      </c>
      <c r="M298" s="15" t="n"/>
      <c r="N298" s="15" t="n"/>
      <c r="O298" s="15" t="n"/>
      <c r="P298" s="15" t="n"/>
      <c r="Q298" s="15" t="n"/>
      <c r="R298" s="15" t="n"/>
      <c r="S298" s="15" t="n"/>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inlineStr">
        <is>
          <t>Korean Booster Pack</t>
        </is>
      </c>
      <c r="K299" s="15">
        <f>SUM(H299,P299,R299,T299,V299)</f>
        <v/>
      </c>
      <c r="L299" s="15" t="inlineStr">
        <is>
          <t>No</t>
        </is>
      </c>
      <c r="M299" s="15" t="n"/>
      <c r="N299" s="15" t="n"/>
      <c r="O299" s="15" t="n"/>
      <c r="P299" s="15" t="n"/>
      <c r="Q299" s="15" t="n"/>
      <c r="R299" s="15" t="n"/>
      <c r="S299" s="15" t="n"/>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inlineStr">
        <is>
          <t>Single Booster Pack</t>
        </is>
      </c>
      <c r="K300" s="15">
        <f>SUM(H300,P300,R300,T300,V300)</f>
        <v/>
      </c>
      <c r="L300" s="15" t="inlineStr">
        <is>
          <t>No</t>
        </is>
      </c>
      <c r="M300" s="15" t="n"/>
      <c r="N300" s="15" t="n"/>
      <c r="O300" s="15" t="n"/>
      <c r="P300" s="15" t="n"/>
      <c r="Q300" s="15" t="n"/>
      <c r="R300" s="15" t="n"/>
      <c r="S300" s="15" t="n"/>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inlineStr">
        <is>
          <t>Chinese Booster Pack</t>
        </is>
      </c>
      <c r="K301" s="15">
        <f>SUM(H301,P301,R301,T301,V301)</f>
        <v/>
      </c>
      <c r="L301" s="15" t="inlineStr">
        <is>
          <t>No</t>
        </is>
      </c>
      <c r="M301" s="15" t="n"/>
      <c r="N301" s="15" t="n"/>
      <c r="O301" s="15" t="n"/>
      <c r="P301" s="15" t="n"/>
      <c r="Q301" s="15" t="n"/>
      <c r="R301" s="15" t="n"/>
      <c r="S301" s="15" t="n"/>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inlineStr">
        <is>
          <t>Blister</t>
        </is>
      </c>
      <c r="K302" s="15">
        <f>SUM(H302,P302,R302,T302,V302)</f>
        <v/>
      </c>
      <c r="L302" s="15" t="inlineStr">
        <is>
          <t>Yes</t>
        </is>
      </c>
      <c r="M302" s="15" t="inlineStr">
        <is>
          <t>Journey Together - Volcanion ex - Double Black Star - Double Rare</t>
        </is>
      </c>
      <c r="N302" s="15" t="n"/>
      <c r="O302" s="15" t="n"/>
      <c r="P302" s="15" t="n"/>
      <c r="Q302" s="15" t="n"/>
      <c r="R302" s="15" t="n"/>
      <c r="S302" s="15" t="n"/>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2</v>
      </c>
      <c r="I303" s="15" t="n"/>
      <c r="J303" s="15" t="inlineStr">
        <is>
          <t>Blister</t>
        </is>
      </c>
      <c r="K303" s="15">
        <f>SUM(H303,P303,R303,T303,V303)</f>
        <v/>
      </c>
      <c r="L303" s="15" t="inlineStr">
        <is>
          <t>Yes</t>
        </is>
      </c>
      <c r="M303" s="15" t="inlineStr">
        <is>
          <t>Phantasmal Flames - Rotom ex - Double Black Star- Double Rare</t>
        </is>
      </c>
      <c r="N303" s="15" t="n"/>
      <c r="O303" s="14" t="inlineStr">
        <is>
          <t>Mega Evolution</t>
        </is>
      </c>
      <c r="P303" s="15" t="n"/>
      <c r="Q303" s="15" t="n"/>
      <c r="R303" s="15" t="n"/>
      <c r="S303" s="15" t="n"/>
      <c r="T303" s="15" t="n"/>
      <c r="U303" s="15" t="n"/>
      <c r="V303" s="15" t="n"/>
      <c r="W303" s="15" t="n"/>
      <c r="X303" s="15" t="n"/>
      <c r="Y303" s="15" t="n"/>
      <c r="Z303" s="15" t="n"/>
      <c r="AA303" s="15" t="n"/>
      <c r="AB303" s="15" t="n"/>
      <c r="AC303" s="15" t="n"/>
      <c r="AD303" s="15" t="n"/>
      <c r="AE303" s="15" t="inlineStr">
        <is>
          <t>All the packs are on the first set. Move some across the Packs columns if they came from different sets.</t>
        </is>
      </c>
    </row>
    <row r="304">
      <c r="A304" s="11" t="inlineStr">
        <is>
          <t>SOCAXif6Mzs</t>
        </is>
      </c>
      <c r="B304" s="11" t="inlineStr">
        <is>
          <t>Only Garbage Rips 😬 | Journey Together 3-Pack Blister</t>
        </is>
      </c>
      <c r="C304" s="11" t="inlineStr">
        <is>
          <t>2026-02-10</t>
        </is>
      </c>
      <c r="D304" s="12" t="n">
        <v>850</v>
      </c>
      <c r="E304" s="11" t="inlineStr">
        <is>
          <t>0:46</t>
        </is>
      </c>
      <c r="F304" s="13">
        <f>HYPERLINK("https://youtu.be/SOCAXif6Mzs","watch")</f>
        <v/>
      </c>
      <c r="G304" s="14" t="inlineStr">
        <is>
          <t>Journey Together</t>
        </is>
      </c>
      <c r="H304" s="15" t="n">
        <v>3</v>
      </c>
      <c r="I304" s="15" t="n"/>
      <c r="J304" s="15" t="inlineStr">
        <is>
          <t>Blister</t>
        </is>
      </c>
      <c r="K304" s="15">
        <f>SUM(H304,P304,R304,T304,V304)</f>
        <v/>
      </c>
      <c r="L304" s="15" t="inlineStr">
        <is>
          <t>Yes</t>
        </is>
      </c>
      <c r="M304" s="15" t="inlineStr">
        <is>
          <t>Journey Together - Trainer - Ruffian - Double Silver Star - Ultra Rare</t>
        </is>
      </c>
      <c r="N304" s="15" t="n"/>
      <c r="O304" s="15" t="n"/>
      <c r="P304" s="15" t="n"/>
      <c r="Q304" s="15" t="n"/>
      <c r="R304" s="15" t="n"/>
      <c r="S304" s="15" t="n"/>
      <c r="T304" s="15" t="n"/>
      <c r="U304" s="15" t="n"/>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507</v>
      </c>
      <c r="E305" s="11" t="inlineStr">
        <is>
          <t>0:44</t>
        </is>
      </c>
      <c r="F305" s="13">
        <f>HYPERLINK("https://youtu.be/Prq7KI6j1Vk","watch")</f>
        <v/>
      </c>
      <c r="G305" s="14" t="inlineStr">
        <is>
          <t>Phantasmal Flames</t>
        </is>
      </c>
      <c r="H305" s="15" t="n">
        <v>2</v>
      </c>
      <c r="I305" s="15" t="n"/>
      <c r="J305" s="15" t="inlineStr">
        <is>
          <t>Single Booster Pack</t>
        </is>
      </c>
      <c r="K305" s="15">
        <f>SUM(H305,P305,R305,T305,V305)</f>
        <v/>
      </c>
      <c r="L305" s="15" t="inlineStr">
        <is>
          <t>Yes</t>
        </is>
      </c>
      <c r="M305" s="15" t="inlineStr">
        <is>
          <t>Phantasmal Flames - Mismagius ex - Double Black Star - Double Rare</t>
        </is>
      </c>
      <c r="N305" s="15" t="n"/>
      <c r="O305" s="15" t="n"/>
      <c r="P305" s="15" t="n"/>
      <c r="Q305" s="15" t="n"/>
      <c r="R305" s="15" t="n"/>
      <c r="S305" s="15" t="n"/>
      <c r="T305" s="15" t="n"/>
      <c r="U305" s="15" t="n"/>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402</v>
      </c>
      <c r="E306" s="11" t="inlineStr">
        <is>
          <t>0:54</t>
        </is>
      </c>
      <c r="F306" s="13">
        <f>HYPERLINK("https://youtu.be/-1fhlQB1okI","watch")</f>
        <v/>
      </c>
      <c r="G306" s="14" t="inlineStr">
        <is>
          <t>Cyber Judge (JP)</t>
        </is>
      </c>
      <c r="H306" s="15" t="n">
        <v>6</v>
      </c>
      <c r="I306" s="15" t="n"/>
      <c r="J306" s="15" t="inlineStr">
        <is>
          <t>Japanese Booster Pack</t>
        </is>
      </c>
      <c r="K306" s="15">
        <f>SUM(H306,P306,R306,T306,V306)</f>
        <v/>
      </c>
      <c r="L306" s="15" t="inlineStr">
        <is>
          <t>Yes</t>
        </is>
      </c>
      <c r="M306" s="15" t="inlineStr">
        <is>
          <t>Cyber Judge - Incineroar ex - SR - Super Rare</t>
        </is>
      </c>
      <c r="N306" s="15" t="n"/>
      <c r="O306" s="15" t="n"/>
      <c r="P306" s="15" t="n"/>
      <c r="Q306" s="15" t="n"/>
      <c r="R306" s="15" t="n"/>
      <c r="S306" s="15" t="n"/>
      <c r="T306" s="15" t="n"/>
      <c r="U306" s="15" t="n"/>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2452</v>
      </c>
      <c r="E307" s="11" t="inlineStr">
        <is>
          <t>0:26</t>
        </is>
      </c>
      <c r="F307" s="13">
        <f>HYPERLINK("https://youtu.be/evnMahizn0I","watch")</f>
        <v/>
      </c>
      <c r="G307" s="14" t="inlineStr">
        <is>
          <t>Paldea Evolved</t>
        </is>
      </c>
      <c r="H307" s="15" t="n">
        <v>1</v>
      </c>
      <c r="I307" s="15" t="n"/>
      <c r="J307" s="15" t="inlineStr">
        <is>
          <t>Blister</t>
        </is>
      </c>
      <c r="K307" s="15">
        <f>SUM(H307,P307,R307,T307,V307)</f>
        <v/>
      </c>
      <c r="L307" s="15" t="inlineStr">
        <is>
          <t>No</t>
        </is>
      </c>
      <c r="M307" s="15" t="n"/>
      <c r="N307" s="15" t="n"/>
      <c r="O307" s="15" t="n"/>
      <c r="P307" s="15" t="n"/>
      <c r="Q307" s="15" t="n"/>
      <c r="R307" s="15" t="n"/>
      <c r="S307" s="15" t="n"/>
      <c r="T307" s="15" t="n"/>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30</v>
      </c>
      <c r="E308" s="11" t="inlineStr">
        <is>
          <t>0:48</t>
        </is>
      </c>
      <c r="F308" s="13">
        <f>HYPERLINK("https://youtu.be/AXOYuKfoBXU","watch")</f>
        <v/>
      </c>
      <c r="G308" s="14" t="inlineStr">
        <is>
          <t>Phantasmal Flames</t>
        </is>
      </c>
      <c r="H308" s="15" t="n">
        <v>2</v>
      </c>
      <c r="I308" s="15" t="n"/>
      <c r="J308" s="15" t="inlineStr">
        <is>
          <t>Blister</t>
        </is>
      </c>
      <c r="K308" s="15">
        <f>SUM(H308,P308,R308,T308,V308)</f>
        <v/>
      </c>
      <c r="L308" s="15" t="inlineStr">
        <is>
          <t>Yes</t>
        </is>
      </c>
      <c r="M308" s="15" t="inlineStr">
        <is>
          <t>Phantasmal Flames - Mega Lopunny ex - Double Black Star - Double Rare</t>
        </is>
      </c>
      <c r="N308" s="15" t="n"/>
      <c r="O308" s="15" t="n"/>
      <c r="P308" s="15" t="n"/>
      <c r="Q308" s="15" t="n"/>
      <c r="R308" s="15" t="n"/>
      <c r="S308" s="15" t="n"/>
      <c r="T308" s="15" t="n"/>
      <c r="U308" s="15" t="n"/>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830</v>
      </c>
      <c r="E309" s="11" t="inlineStr">
        <is>
          <t>0:45</t>
        </is>
      </c>
      <c r="F309" s="13">
        <f>HYPERLINK("https://youtu.be/m9K7hpyjn04","watch")</f>
        <v/>
      </c>
      <c r="G309" s="14" t="inlineStr">
        <is>
          <t>Twilight Masquerade</t>
        </is>
      </c>
      <c r="H309" s="15" t="n">
        <v>2</v>
      </c>
      <c r="I309" s="15" t="n"/>
      <c r="J309" s="15" t="inlineStr">
        <is>
          <t>Knock Out Collection</t>
        </is>
      </c>
      <c r="K309" s="15">
        <f>SUM(H309,P309,R309,T309,V309)</f>
        <v/>
      </c>
      <c r="L309" s="15" t="inlineStr">
        <is>
          <t>Yes</t>
        </is>
      </c>
      <c r="M309" s="15" t="inlineStr">
        <is>
          <t>Surging Sparks - Feebas - Single Gold Star - Illustration Rare</t>
        </is>
      </c>
      <c r="N309" s="15" t="n"/>
      <c r="O309" s="14" t="inlineStr">
        <is>
          <t>Surging Sparks</t>
        </is>
      </c>
      <c r="P309" s="15" t="n"/>
      <c r="Q309" s="15" t="n"/>
      <c r="R309" s="15" t="n"/>
      <c r="S309" s="15" t="n"/>
      <c r="T309" s="15" t="n"/>
      <c r="U309" s="15" t="n"/>
      <c r="V309" s="15" t="n"/>
      <c r="W309" s="15" t="n"/>
      <c r="X309" s="15" t="n"/>
      <c r="Y309" s="15" t="n"/>
      <c r="Z309" s="15" t="n"/>
      <c r="AA309" s="15" t="n"/>
      <c r="AB309" s="15" t="n"/>
      <c r="AC309" s="15" t="n"/>
      <c r="AD309" s="15" t="n"/>
      <c r="AE309" s="15" t="inlineStr">
        <is>
          <t>All the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394</v>
      </c>
      <c r="E310" s="11" t="inlineStr">
        <is>
          <t>0:46</t>
        </is>
      </c>
      <c r="F310" s="13">
        <f>HYPERLINK("https://youtu.be/41vJCIdzYkw","watch")</f>
        <v/>
      </c>
      <c r="G310" s="14" t="inlineStr">
        <is>
          <t>Twilight Masquerade</t>
        </is>
      </c>
      <c r="H310" s="15" t="n">
        <v>2</v>
      </c>
      <c r="I310" s="15" t="n"/>
      <c r="J310" s="15" t="inlineStr">
        <is>
          <t>Knock Out Collection</t>
        </is>
      </c>
      <c r="K310" s="15">
        <f>SUM(H310,P310,R310,T310,V310)</f>
        <v/>
      </c>
      <c r="L310" s="15" t="inlineStr">
        <is>
          <t>No</t>
        </is>
      </c>
      <c r="M310" s="15" t="n"/>
      <c r="N310" s="15" t="n"/>
      <c r="O310" s="14" t="inlineStr">
        <is>
          <t>Surging Sparks</t>
        </is>
      </c>
      <c r="P310" s="15" t="n"/>
      <c r="Q310" s="15" t="n"/>
      <c r="R310" s="15" t="n"/>
      <c r="S310" s="15" t="n"/>
      <c r="T310" s="15" t="n"/>
      <c r="U310" s="15" t="n"/>
      <c r="V310" s="15" t="n"/>
      <c r="W310" s="15" t="n"/>
      <c r="X310" s="15" t="n"/>
      <c r="Y310" s="15" t="inlineStr">
        <is>
          <t>Hits</t>
        </is>
      </c>
      <c r="Z310" s="15" t="n"/>
      <c r="AA310" s="15" t="n"/>
      <c r="AB310" s="15" t="n"/>
      <c r="AC310" s="15" t="n"/>
      <c r="AD310" s="15" t="n"/>
      <c r="AE310" s="15" t="inlineStr">
        <is>
          <t>All the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inlineStr">
        <is>
          <t>Blister</t>
        </is>
      </c>
      <c r="K311" s="15">
        <f>SUM(H311,P311,R311,T311,V311)</f>
        <v/>
      </c>
      <c r="L311" s="15" t="inlineStr">
        <is>
          <t>Yes</t>
        </is>
      </c>
      <c r="M311" s="15" t="inlineStr">
        <is>
          <t>Paradox Rift - Tsareena ex - Double Black Star - Double Rare</t>
        </is>
      </c>
      <c r="N311" s="15" t="n"/>
      <c r="O311" s="15" t="n"/>
      <c r="P311" s="15" t="n"/>
      <c r="Q311" s="15" t="n"/>
      <c r="R311" s="15" t="n"/>
      <c r="S311" s="15" t="n"/>
      <c r="T311" s="15" t="n"/>
      <c r="U311" s="15" t="n"/>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1180</v>
      </c>
      <c r="E312" s="11" t="inlineStr">
        <is>
          <t>1:07</t>
        </is>
      </c>
      <c r="F312" s="13">
        <f>HYPERLINK("https://youtu.be/l6RPdGNs7uE","watch")</f>
        <v/>
      </c>
      <c r="G312" s="14" t="inlineStr">
        <is>
          <t>Mega Evolution</t>
        </is>
      </c>
      <c r="H312" s="15" t="n">
        <v>4</v>
      </c>
      <c r="I312" s="15" t="n"/>
      <c r="J312" s="15" t="inlineStr">
        <is>
          <t>ex Premium Collection</t>
        </is>
      </c>
      <c r="K312" s="15">
        <f>SUM(H312,P312,R312,T312,V312)</f>
        <v/>
      </c>
      <c r="L312" s="15" t="inlineStr">
        <is>
          <t>Yes</t>
        </is>
      </c>
      <c r="M312" s="15" t="inlineStr">
        <is>
          <t>Mega Kangakhan ex - Black Star Promo , Mega Evolution - Spearow - Single Gold Star - Illustration Rare,</t>
        </is>
      </c>
      <c r="N312" s="15" t="n"/>
      <c r="O312" s="14" t="inlineStr">
        <is>
          <t>Destined Rivals</t>
        </is>
      </c>
      <c r="P312" s="15" t="n"/>
      <c r="Q312" s="15" t="n"/>
      <c r="R312" s="15" t="n"/>
      <c r="S312" s="15" t="n"/>
      <c r="T312" s="15" t="n"/>
      <c r="U312" s="15" t="n"/>
      <c r="V312" s="15" t="n"/>
      <c r="W312" s="15" t="n"/>
      <c r="X312" s="15" t="n"/>
      <c r="Y312" s="15" t="inlineStr">
        <is>
          <t>Hits</t>
        </is>
      </c>
      <c r="Z312" s="15" t="n"/>
      <c r="AA312" s="15" t="n"/>
      <c r="AB312" s="15" t="n"/>
      <c r="AC312" s="15" t="n"/>
      <c r="AD312" s="15" t="n"/>
      <c r="AE312" s="15" t="inlineStr">
        <is>
          <t>All the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5" t="n"/>
      <c r="J313" s="15" t="inlineStr">
        <is>
          <t>UPC (Ultra Premium Collection)</t>
        </is>
      </c>
      <c r="K313" s="15">
        <f>SUM(H313,P313,R313,T313,V313)</f>
        <v/>
      </c>
      <c r="L313" s="15" t="inlineStr">
        <is>
          <t>Yes</t>
        </is>
      </c>
      <c r="M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N313" s="15" t="inlineStr">
        <is>
          <t>More than one</t>
        </is>
      </c>
      <c r="O313" s="14" t="inlineStr">
        <is>
          <t>Destined Rivals</t>
        </is>
      </c>
      <c r="P313" s="15" t="n"/>
      <c r="Q313" s="14" t="inlineStr">
        <is>
          <t>Surging Sparks</t>
        </is>
      </c>
      <c r="R313" s="15" t="n"/>
      <c r="S313" s="14" t="inlineStr">
        <is>
          <t>Mega Evolution</t>
        </is>
      </c>
      <c r="T313" s="15" t="n"/>
      <c r="U313" s="15" t="n"/>
      <c r="V313" s="15" t="n"/>
      <c r="W313" s="15" t="n"/>
      <c r="X313" s="15" t="n"/>
      <c r="Y313" s="15" t="inlineStr">
        <is>
          <t>Hits</t>
        </is>
      </c>
      <c r="Z313" s="15" t="n"/>
      <c r="AA313" s="15" t="n"/>
      <c r="AB313" s="15" t="n"/>
      <c r="AC313" s="15" t="n"/>
      <c r="AD313" s="15" t="n"/>
      <c r="AE313" s="15" t="inlineStr">
        <is>
          <t>All the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5" t="inlineStr">
        <is>
          <t>Fall 2025 Collector Chest</t>
        </is>
      </c>
      <c r="J314" s="15" t="inlineStr">
        <is>
          <t>Tin</t>
        </is>
      </c>
      <c r="K314" s="15">
        <f>SUM(H314,P314,R314,T314,V314)</f>
        <v/>
      </c>
      <c r="L314" s="15" t="inlineStr">
        <is>
          <t>Yes</t>
        </is>
      </c>
      <c r="M314" s="15" t="inlineStr">
        <is>
          <t>Mega Evolution - Stufful - Single Gold star - Illustration Rare , Destined Rivals - Marnie's Grimmsnarl ex , Double Black Star - Double Rare , Journey Together - Wailord - Single Gold Star - Illustration Rare</t>
        </is>
      </c>
      <c r="N314" s="15" t="inlineStr">
        <is>
          <t>More than one</t>
        </is>
      </c>
      <c r="O314" s="14" t="inlineStr">
        <is>
          <t>Destined Rivals</t>
        </is>
      </c>
      <c r="P314" s="15" t="n"/>
      <c r="Q314" s="14" t="inlineStr">
        <is>
          <t>Journey Together</t>
        </is>
      </c>
      <c r="R314" s="15" t="n"/>
      <c r="S314" s="15" t="n"/>
      <c r="T314" s="15" t="n"/>
      <c r="U314" s="15" t="n"/>
      <c r="V314" s="15" t="n"/>
      <c r="W314" s="15" t="n"/>
      <c r="X314" s="15" t="n"/>
      <c r="Y314" s="15" t="inlineStr">
        <is>
          <t>Hits</t>
        </is>
      </c>
      <c r="Z314" s="15" t="n"/>
      <c r="AA314" s="15" t="n"/>
      <c r="AB314" s="15" t="n"/>
      <c r="AC314" s="15" t="n"/>
      <c r="AD314" s="15" t="n"/>
      <c r="AE314" s="15" t="inlineStr">
        <is>
          <t>All the packs are on the first set. Move some across the Packs columns if they came from different sets.</t>
        </is>
      </c>
    </row>
  </sheetData>
  <autoFilter ref="A1:AE314"/>
  <dataValidations count="14">
    <dataValidation sqref="G2:G314" showDropDown="0" showInputMessage="0" showErrorMessage="0" allowBlank="1" type="list">
      <formula1>gr_list_A</formula1>
    </dataValidation>
    <dataValidation sqref="O2:O314" showDropDown="0" showInputMessage="0" showErrorMessage="0" allowBlank="1" type="list">
      <formula1>gr_list_A</formula1>
    </dataValidation>
    <dataValidation sqref="Q2:Q314" showDropDown="0" showInputMessage="0" showErrorMessage="0" allowBlank="1" type="list">
      <formula1>gr_list_A</formula1>
    </dataValidation>
    <dataValidation sqref="S2:S314" showDropDown="0" showInputMessage="0" showErrorMessage="0" allowBlank="1" type="list">
      <formula1>gr_list_A</formula1>
    </dataValidation>
    <dataValidation sqref="U2:U314" showDropDown="0" showInputMessage="0" showErrorMessage="0" allowBlank="1" type="list">
      <formula1>gr_list_A</formula1>
    </dataValidation>
    <dataValidation sqref="J2:J314" showDropDown="0" showInputMessage="0" showErrorMessage="0" allowBlank="1" type="list">
      <formula1>gr_list_B</formula1>
    </dataValidation>
    <dataValidation sqref="N2:N314" showDropDown="0" showInputMessage="0" showErrorMessage="0" allowBlank="1" type="list">
      <formula1>gr_list_C</formula1>
    </dataValidation>
    <dataValidation sqref="L2:L314" showDropDown="0" showInputMessage="0" showErrorMessage="0" allowBlank="1" type="list">
      <formula1>gr_list_D</formula1>
    </dataValidation>
    <dataValidation sqref="W2:W314" showDropDown="0" showInputMessage="0" showErrorMessage="0" allowBlank="1" type="list">
      <formula1>gr_list_D</formula1>
    </dataValidation>
    <dataValidation sqref="AC2:AC314" showDropDown="0" showInputMessage="0" showErrorMessage="0" allowBlank="1" type="list">
      <formula1>gr_list_D</formula1>
    </dataValidation>
    <dataValidation sqref="AD2:AD314" showDropDown="0" showInputMessage="0" showErrorMessage="0" allowBlank="1" type="list">
      <formula1>gr_list_D</formula1>
    </dataValidation>
    <dataValidation sqref="Y2:Y314" showDropDown="0" showInputMessage="0" showErrorMessage="0" allowBlank="1" type="list">
      <formula1>gr_list_E</formula1>
    </dataValidation>
    <dataValidation sqref="X2:X314" showDropDown="0" showInputMessage="0" showErrorMessage="0" allowBlank="1" type="list">
      <formula1>gr_list_K</formula1>
    </dataValidation>
    <dataValidation sqref="I2:I314"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Log'!O2:O314)</f>
        <v/>
      </c>
    </row>
    <row r="7">
      <c r="A7" s="7" t="inlineStr">
        <is>
          <t>Videos with 4 sets</t>
        </is>
      </c>
      <c r="B7" s="18">
        <f>COUNTA('Video Log'!S2:S314)</f>
        <v/>
      </c>
    </row>
    <row r="8">
      <c r="A8" s="7" t="inlineStr">
        <is>
          <t>Hit rarity filled in</t>
        </is>
      </c>
      <c r="B8" s="18">
        <f>COUNTA('Video Log'!N2:N314)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Log'!J2:J314)</f>
        <v/>
      </c>
    </row>
    <row r="12">
      <c r="A12" s="7" t="inlineStr">
        <is>
          <t>Marked as a hit</t>
        </is>
      </c>
      <c r="B12" s="18">
        <f>COUNTIF('Video Log'!L2:L314,"Yes")</f>
        <v/>
      </c>
    </row>
    <row r="13">
      <c r="A13" s="7" t="inlineStr">
        <is>
          <t>Hit card named</t>
        </is>
      </c>
      <c r="B13" s="18">
        <f>COUNTA('Video Log'!M2:M314)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2026-08-16T14:07:20Z</dcterms:created>
  <dcterms:modified xsi:type="dcterms:W3CDTF">2026-08-16T14:07:20Z</dcterms:modified>
</cp:coreProperties>
</file>