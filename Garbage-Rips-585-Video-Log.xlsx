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9"/>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76</v>
      </c>
      <c r="E2" s="11" t="inlineStr">
        <is>
          <t>0:19</t>
        </is>
      </c>
      <c r="F2" s="13">
        <f>HYPERLINK("https://youtu.be/I9jPRYXbqkg","watch")</f>
        <v/>
      </c>
      <c r="G2" s="14" t="inlineStr">
        <is>
          <t>desc: #3 pack 5  Chaos Rising</t>
        </is>
      </c>
      <c r="H2" s="15" t="inlineStr">
        <is>
          <t>ETB</t>
        </is>
      </c>
      <c r="I2" s="15" t="n">
        <v>5</v>
      </c>
      <c r="J2" s="15" t="inlineStr">
        <is>
          <t>No</t>
        </is>
      </c>
      <c r="K2" s="15" t="n"/>
      <c r="L2" s="15" t="inlineStr">
        <is>
          <t>Chaos Rising</t>
        </is>
      </c>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row r="325">
      <c r="A325" t="inlineStr">
        <is>
          <t>rPElm7KrH_E</t>
        </is>
      </c>
      <c r="B325" t="inlineStr">
        <is>
          <t>The Single Pack Streak is REAL! ⚡😱</t>
        </is>
      </c>
      <c r="C325" t="inlineStr">
        <is>
          <t>2026-08-28</t>
        </is>
      </c>
      <c r="D325" t="n">
        <v>193</v>
      </c>
      <c r="E325" t="inlineStr">
        <is>
          <t>0:20</t>
        </is>
      </c>
      <c r="F325">
        <f>HYPERLINK("https://youtu.be/rPElm7KrH_E","watch")</f>
        <v/>
      </c>
      <c r="H325" t="inlineStr">
        <is>
          <t>Single Booster Pack</t>
        </is>
      </c>
      <c r="I325" t="n">
        <v>16</v>
      </c>
      <c r="J325" t="inlineStr">
        <is>
          <t>Yes</t>
        </is>
      </c>
      <c r="K325" t="inlineStr">
        <is>
          <t>Ampharos - Single Gold Star - Illustration Rare</t>
        </is>
      </c>
      <c r="L325" t="inlineStr">
        <is>
          <t>Chaos Rising</t>
        </is>
      </c>
    </row>
    <row r="326">
      <c r="A326" t="inlineStr">
        <is>
          <t>VSf9bxl_siE</t>
        </is>
      </c>
      <c r="B326" t="inlineStr">
        <is>
          <t>Mega Darkrai ex is INSANE! 😱🤘</t>
        </is>
      </c>
      <c r="C326" t="inlineStr">
        <is>
          <t>2026-08-26</t>
        </is>
      </c>
      <c r="D326" t="n">
        <v>1098</v>
      </c>
      <c r="E326" t="inlineStr">
        <is>
          <t>0:20</t>
        </is>
      </c>
      <c r="F326">
        <f>HYPERLINK("https://youtu.be/VSf9bxl_siE","watch")</f>
        <v/>
      </c>
      <c r="H326" t="inlineStr">
        <is>
          <t>Single Booster Pack</t>
        </is>
      </c>
      <c r="I326" t="n">
        <v>11</v>
      </c>
      <c r="J326" t="inlineStr">
        <is>
          <t>Yes</t>
        </is>
      </c>
      <c r="K326" t="inlineStr">
        <is>
          <t>Mega Darkrai ex - Double Black Star - Double Rare</t>
        </is>
      </c>
      <c r="L326" t="inlineStr">
        <is>
          <t>Pitch Black</t>
        </is>
      </c>
    </row>
    <row r="327">
      <c r="A327" t="inlineStr">
        <is>
          <t>8Cmsa2BycMc</t>
        </is>
      </c>
      <c r="B327" t="inlineStr">
        <is>
          <t>Where is the Pikachu SIR?? ⚡😱</t>
        </is>
      </c>
      <c r="C327" t="inlineStr">
        <is>
          <t>2026-08-27</t>
        </is>
      </c>
      <c r="D327" t="n">
        <v>996</v>
      </c>
      <c r="E327" t="inlineStr">
        <is>
          <t>0:21</t>
        </is>
      </c>
      <c r="F327">
        <f>HYPERLINK("https://youtu.be/8Cmsa2BycMc","watch")</f>
        <v/>
      </c>
      <c r="H327" t="inlineStr">
        <is>
          <t>Single Booster Pack</t>
        </is>
      </c>
      <c r="I327" t="n">
        <v>8</v>
      </c>
      <c r="J327" t="inlineStr">
        <is>
          <t>No</t>
        </is>
      </c>
      <c r="L327" t="inlineStr">
        <is>
          <t>Ascended Heroes</t>
        </is>
      </c>
    </row>
    <row r="328">
      <c r="A328" t="inlineStr">
        <is>
          <t>0mtM71JvFkc</t>
        </is>
      </c>
      <c r="B328" t="inlineStr">
        <is>
          <t>Mega Dragalge ex is STUNNING! 🐲✨</t>
        </is>
      </c>
      <c r="C328" t="inlineStr">
        <is>
          <t>2026-08-29</t>
        </is>
      </c>
      <c r="D328" t="n">
        <v>94</v>
      </c>
      <c r="E328" t="inlineStr">
        <is>
          <t>0:22</t>
        </is>
      </c>
      <c r="F328">
        <f>HYPERLINK("https://youtu.be/0mtM71JvFkc","watch")</f>
        <v/>
      </c>
      <c r="H328" t="inlineStr">
        <is>
          <t>ETB</t>
        </is>
      </c>
      <c r="I328" t="n">
        <v>6</v>
      </c>
      <c r="J328" t="inlineStr">
        <is>
          <t>Yes</t>
        </is>
      </c>
      <c r="K328" t="inlineStr">
        <is>
          <t>Mega Dragalge ex - Double Black Star - Double Rare</t>
        </is>
      </c>
      <c r="L328" t="inlineStr">
        <is>
          <t>Chaos Rising</t>
        </is>
      </c>
    </row>
    <row r="329">
      <c r="A329" t="inlineStr">
        <is>
          <t>zrI6oaxBct8</t>
        </is>
      </c>
      <c r="B329" t="inlineStr">
        <is>
          <t>Ascended Heroes is TOUGH 💀🤘</t>
        </is>
      </c>
      <c r="C329" t="inlineStr">
        <is>
          <t>2026-08-30</t>
        </is>
      </c>
      <c r="D329" t="n">
        <v>106</v>
      </c>
      <c r="E329" t="inlineStr">
        <is>
          <t>0:21</t>
        </is>
      </c>
      <c r="F329">
        <f>HYPERLINK("https://youtu.be/zrI6oaxBct8","watch")</f>
        <v/>
      </c>
      <c r="H329" t="inlineStr">
        <is>
          <t>Single Booster Pack</t>
        </is>
      </c>
      <c r="I329" t="n">
        <v>9</v>
      </c>
      <c r="J329" t="inlineStr">
        <is>
          <t>No</t>
        </is>
      </c>
      <c r="L329" t="inlineStr">
        <is>
          <t>Ascended Heroes</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2"/>
    <row r="3">
      <c r="A3" s="7" t="inlineStr">
        <is>
          <t>Videos in the log</t>
        </is>
      </c>
      <c r="B3" s="18">
        <f>COUNTA('Video Log'!A2:A329)</f>
        <v/>
      </c>
    </row>
    <row r="4">
      <c r="A4" s="7" t="inlineStr">
        <is>
          <t>Product filled in</t>
        </is>
      </c>
      <c r="B4" s="18">
        <f>COUNTA('Video Log'!H2:H329)</f>
        <v/>
      </c>
    </row>
    <row r="5">
      <c r="A5" s="7" t="inlineStr">
        <is>
          <t>Still missing a product</t>
        </is>
      </c>
      <c r="B5" s="18">
        <f>COUNTA('Video Log'!A2:A329)-COUNTA('Video Log'!H2:H329)</f>
        <v/>
      </c>
    </row>
    <row r="6">
      <c r="A6" s="7" t="inlineStr">
        <is>
          <t>Sets &amp; Packs filled in</t>
        </is>
      </c>
      <c r="B6" s="18">
        <f>COUNTA('Video Log'!L2:L329)</f>
        <v/>
      </c>
    </row>
    <row r="7">
      <c r="A7" s="7" t="inlineStr">
        <is>
          <t>Still missing Sets &amp; Packs</t>
        </is>
      </c>
      <c r="B7" s="18">
        <f>COUNTA('Video Log'!A2:A329)-COUNTA('Video Log'!L2:L329)</f>
        <v/>
      </c>
    </row>
    <row r="8">
      <c r="A8" s="7" t="inlineStr">
        <is>
          <t>Pack number filled in</t>
        </is>
      </c>
      <c r="B8" s="18">
        <f>COUNTA('Video Log'!I2:I329)</f>
        <v/>
      </c>
    </row>
    <row r="9">
      <c r="A9" s="7" t="inlineStr">
        <is>
          <t>Marked as a hit</t>
        </is>
      </c>
      <c r="B9" s="18">
        <f>COUNTIF('Video Log'!J2:J329,"Yes")</f>
        <v/>
      </c>
    </row>
    <row r="10">
      <c r="A10" s="7" t="inlineStr">
        <is>
          <t>Hit info written</t>
        </is>
      </c>
      <c r="B10" s="18">
        <f>COUNTA('Video Log'!K2:K329)</f>
        <v/>
      </c>
    </row>
    <row r="11">
      <c r="A11" s="7" t="inlineStr">
        <is>
          <t>In Greatest Hits</t>
        </is>
      </c>
      <c r="B11" s="18">
        <f>COUNTIF('Video Log'!M2:M329,"Yes")</f>
        <v/>
      </c>
    </row>
    <row r="12">
      <c r="A12" s="7" t="inlineStr">
        <is>
          <t>Given a rank</t>
        </is>
      </c>
      <c r="B12" s="18">
        <f>COUNTA('Video Log'!N2:N329)</f>
        <v/>
      </c>
    </row>
    <row r="13"/>
    <row r="14"/>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n"/>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2026-08-25T13:08:51Z</dcterms:created>
  <dcterms:modified xsi:type="dcterms:W3CDTF">2026-08-30T12:50:15Z</dcterms:modified>
</cp:coreProperties>
</file>