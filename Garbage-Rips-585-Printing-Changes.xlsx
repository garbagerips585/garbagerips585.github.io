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lease Confirm" sheetId="2" state="visible" r:id="rId2"/>
    <sheet name="All 90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0" fillId="3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4" borderId="0" pivotButton="0" quotePrefix="0" xfId="0"/>
    <xf numFmtId="0" fontId="0" fillId="4" borderId="1" pivotButton="0" quotePrefix="0" xfId="0"/>
    <xf numFmtId="0" fontId="0" fillId="0" borderId="1" pivotButton="0" quotePrefix="0" xfId="0"/>
    <xf numFmtId="164" fontId="2" fillId="0" borderId="1" pivotButton="0" quotePrefix="0" xfId="0"/>
    <xf numFmtId="0" fontId="0" fillId="5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What this is</t>
        </is>
      </c>
    </row>
    <row r="2">
      <c r="A2" s="2" t="inlineStr"/>
    </row>
    <row r="3">
      <c r="A3" s="2" t="inlineStr">
        <is>
          <t>Following your eleven TCGplayer links turned up a bug that had been picking the WRONG PRINTING</t>
        </is>
      </c>
    </row>
    <row r="4">
      <c r="A4" s="2" t="inlineStr">
        <is>
          <t>of a card whenever a set prints one name twice. It always kept the more expensive one and never</t>
        </is>
      </c>
    </row>
    <row r="5">
      <c r="A5" s="2" t="inlineStr">
        <is>
          <t>read the rarity you had typed on the same row. That moved 90 rows.</t>
        </is>
      </c>
    </row>
    <row r="6">
      <c r="A6" s="2" t="inlineStr"/>
    </row>
    <row r="7">
      <c r="A7" s="2" t="inlineStr">
        <is>
          <t>It is fixed. Your rarity now decides. But you asked to rewatch and confirm, so here is everything.</t>
        </is>
      </c>
    </row>
    <row r="8">
      <c r="A8" s="2" t="inlineStr"/>
    </row>
    <row r="9">
      <c r="A9" s="1" t="inlineStr">
        <is>
          <t>The tabs</t>
        </is>
      </c>
    </row>
    <row r="10">
      <c r="A10" s="2" t="inlineStr"/>
    </row>
    <row r="11">
      <c r="A11" s="2" t="inlineStr">
        <is>
          <t>1 - Please Confirm    The ONE thing I could not settle from your log, plus the 12 biggest</t>
        </is>
      </c>
    </row>
    <row r="12">
      <c r="A12" s="2" t="inlineStr">
        <is>
          <t xml:space="preserve">                      corrections. If you only have ten minutes, this is the tab.</t>
        </is>
      </c>
    </row>
    <row r="13">
      <c r="A13" s="2" t="inlineStr">
        <is>
          <t>2 - All 90 Changes    Every printing that moved, biggest dollar change first.</t>
        </is>
      </c>
    </row>
    <row r="14">
      <c r="A14" s="2" t="inlineStr"/>
    </row>
    <row r="15">
      <c r="A15" s="1" t="inlineStr">
        <is>
          <t>How to answer</t>
        </is>
      </c>
    </row>
    <row r="16">
      <c r="A16" s="2" t="inlineStr"/>
    </row>
    <row r="17">
      <c r="A17" s="2" t="inlineStr">
        <is>
          <t>Put a Y in the Correct? column if the card on screen matches the NOW column.</t>
        </is>
      </c>
    </row>
    <row r="18">
      <c r="A18" s="2" t="inlineStr">
        <is>
          <t>Put an N and a note if it does not. Send the file back and I will fix and rebuild.</t>
        </is>
      </c>
    </row>
    <row r="19">
      <c r="A19" s="2" t="inlineStr"/>
    </row>
    <row r="20">
      <c r="A20" s="1" t="inlineStr">
        <is>
          <t>Why I think these are right (you do not have to take my word for it)</t>
        </is>
      </c>
    </row>
    <row r="21">
      <c r="A21" s="2" t="inlineStr"/>
    </row>
    <row r="22">
      <c r="A22" s="2" t="inlineStr">
        <is>
          <t>Your Video Log Hit Info cells name the SYMBOL as well as the tier -- 'Double Black Star -</t>
        </is>
      </c>
    </row>
    <row r="23">
      <c r="A23" s="2" t="inlineStr">
        <is>
          <t>Double Rare'. I compared all 157 rows where that cell names a tier: 157 agree with the new</t>
        </is>
      </c>
    </row>
    <row r="24">
      <c r="A24" s="2" t="inlineStr">
        <is>
          <t>printing, 0 disagree. A double black star is a Double Rare, and that is what you wrote.</t>
        </is>
      </c>
    </row>
    <row r="25">
      <c r="A25" s="2" t="inlineStr"/>
    </row>
    <row r="26">
      <c r="A26" s="2" t="inlineStr">
        <is>
          <t>The old data claimed you pulled 51 Special Illustration Rares out of 462 packs. That is about</t>
        </is>
      </c>
    </row>
    <row r="27">
      <c r="A27" s="2" t="inlineStr">
        <is>
          <t>1 in 9. The real rate is closer to 1 in 100. The new numbers give 2 SIRs, 75 Double Rares,</t>
        </is>
      </c>
    </row>
    <row r="28">
      <c r="A28" s="2" t="inlineStr">
        <is>
          <t>40 Illustration Rares and 35 Ultra Rares, which is what a box actually does.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2" customWidth="1" min="4" max="4"/>
    <col width="30" customWidth="1" min="5" max="5"/>
    <col width="30" customWidth="1" min="6" max="6"/>
    <col width="9" customWidth="1" min="7" max="7"/>
    <col width="46" customWidth="1" min="8" max="8"/>
  </cols>
  <sheetData>
    <row r="1" ht="24" customHeight="1">
      <c r="A1" s="3" t="inlineStr">
        <is>
          <t>Correct?</t>
        </is>
      </c>
      <c r="B1" s="3" t="inlineStr">
        <is>
          <t>Card</t>
        </is>
      </c>
      <c r="C1" s="3" t="inlineStr">
        <is>
          <t>Set</t>
        </is>
      </c>
      <c r="D1" s="3" t="inlineStr">
        <is>
          <t>You typed</t>
        </is>
      </c>
      <c r="E1" s="3" t="inlineStr">
        <is>
          <t>WAS (wrong)</t>
        </is>
      </c>
      <c r="F1" s="3" t="inlineStr">
        <is>
          <t>NOW (on the site)</t>
        </is>
      </c>
      <c r="G1" s="3" t="inlineStr">
        <is>
          <t>Watch</t>
        </is>
      </c>
      <c r="H1" s="3" t="inlineStr">
        <is>
          <t>Video</t>
        </is>
      </c>
    </row>
    <row r="2">
      <c r="B2" s="4" t="inlineStr">
        <is>
          <t>THE ONE I CANNOT ANSWER FROM YOUR LOG</t>
        </is>
      </c>
    </row>
    <row r="3">
      <c r="B3" s="2" t="inlineStr">
        <is>
          <t>Your Video Log AND My Hits both say the Mega Charizard X Tin gave a Mega Charizard Y ex promo.</t>
        </is>
      </c>
    </row>
    <row r="4">
      <c r="B4" s="2" t="inlineStr">
        <is>
          <t>You told me the Mega Charizard X ex promo came from that tin. I kept BOTH rather than delete</t>
        </is>
      </c>
    </row>
    <row r="5">
      <c r="B5" s="2" t="inlineStr">
        <is>
          <t>what you wrote twice. So that rip now shows two Charizard promos. Is that right, or is it one card?</t>
        </is>
      </c>
    </row>
    <row r="7">
      <c r="A7" s="5" t="inlineStr"/>
      <c r="B7" s="6" t="inlineStr">
        <is>
          <t>Mega Charizard Y ex</t>
        </is>
      </c>
      <c r="C7" s="6" t="inlineStr">
        <is>
          <t>MEP Black Star Promos</t>
        </is>
      </c>
      <c r="D7" s="6" t="inlineStr">
        <is>
          <t>Black Star Promo</t>
        </is>
      </c>
      <c r="E7" s="6" t="inlineStr">
        <is>
          <t>(as logged, no number)</t>
        </is>
      </c>
      <c r="F7" s="6" t="inlineStr">
        <is>
          <t>MEP Promo #030  $5.98</t>
        </is>
      </c>
      <c r="G7" s="7">
        <f>HYPERLINK("https://youtu.be/F9mAQqKd6r8","watch")</f>
        <v/>
      </c>
      <c r="H7" s="6" t="inlineStr">
        <is>
          <t>Only Garbage Rips? | Mega Charizard X Tin</t>
        </is>
      </c>
    </row>
    <row r="8">
      <c r="A8" s="5" t="inlineStr"/>
      <c r="B8" s="6" t="inlineStr">
        <is>
          <t>Mega Charizard X ex</t>
        </is>
      </c>
      <c r="C8" s="6" t="inlineStr">
        <is>
          <t>MEP Black Star Promos</t>
        </is>
      </c>
      <c r="D8" s="6" t="inlineStr">
        <is>
          <t>Black Star Promo</t>
        </is>
      </c>
      <c r="E8" s="6" t="inlineStr">
        <is>
          <t>(was not on the site)</t>
        </is>
      </c>
      <c r="F8" s="6" t="inlineStr">
        <is>
          <t>MEP Promo #029  $5.68</t>
        </is>
      </c>
      <c r="G8" s="7">
        <f>HYPERLINK("https://youtu.be/F9mAQqKd6r8","watch")</f>
        <v/>
      </c>
      <c r="H8" s="6" t="inlineStr">
        <is>
          <t>Only Garbage Rips? | Mega Charizard X Tin</t>
        </is>
      </c>
    </row>
    <row r="10">
      <c r="B10" s="8" t="inlineStr">
        <is>
          <t>THE 12 BIGGEST CORRECTIONS -- worth a rewatch, everything else follows the same rule</t>
        </is>
      </c>
    </row>
    <row r="11">
      <c r="A11" s="9" t="inlineStr"/>
      <c r="B11" s="6" t="inlineStr">
        <is>
          <t>Mega Dragonite ex</t>
        </is>
      </c>
      <c r="C11" s="6" t="inlineStr">
        <is>
          <t>Ascended Heroes</t>
        </is>
      </c>
      <c r="D11" s="6" t="inlineStr">
        <is>
          <t>Double Rare</t>
        </is>
      </c>
      <c r="E11" s="6" t="inlineStr">
        <is>
          <t>#290  Special illustration rare  $668.50</t>
        </is>
      </c>
      <c r="F11" s="6" t="inlineStr">
        <is>
          <t>#152  Double rare  $4.56</t>
        </is>
      </c>
      <c r="G11" s="7">
        <f>HYPERLINK("https://youtu.be/LlGPrTKqIYg","watch")</f>
        <v/>
      </c>
      <c r="H11" s="6" t="inlineStr">
        <is>
          <t>Ascended Heroes Tech Sticker Collection 👻 | Gastly Promo</t>
        </is>
      </c>
    </row>
    <row r="12">
      <c r="A12" s="9" t="inlineStr"/>
      <c r="B12" s="6" t="inlineStr">
        <is>
          <t>Mega Charizard Y ex</t>
        </is>
      </c>
      <c r="C12" s="6" t="inlineStr">
        <is>
          <t>Ascended Heroes</t>
        </is>
      </c>
      <c r="D12" s="6" t="inlineStr">
        <is>
          <t>Double Rare</t>
        </is>
      </c>
      <c r="E12" s="6" t="inlineStr">
        <is>
          <t>#294  Mega Hyper Rare  $363.43</t>
        </is>
      </c>
      <c r="F12" s="6" t="inlineStr">
        <is>
          <t>#022  Double rare  $5.46</t>
        </is>
      </c>
      <c r="G12" s="7">
        <f>HYPERLINK("https://youtu.be/-e9F0ufKpIQ","watch")</f>
        <v/>
      </c>
      <c r="H12" s="6" t="inlineStr">
        <is>
          <t>Ascended Heroes Elite Trainer Box Pack #1 ⚡ | 9 Packs. 9 Chances.</t>
        </is>
      </c>
    </row>
    <row r="13">
      <c r="A13" s="9" t="inlineStr"/>
      <c r="B13" s="6" t="inlineStr">
        <is>
          <t>Mega Greninja ex</t>
        </is>
      </c>
      <c r="C13" s="6" t="inlineStr">
        <is>
          <t>Chaos Rising</t>
        </is>
      </c>
      <c r="D13" s="6" t="inlineStr">
        <is>
          <t>Double Rare</t>
        </is>
      </c>
      <c r="E13" s="6" t="inlineStr">
        <is>
          <t>#116  Special illustration rare  $208.26</t>
        </is>
      </c>
      <c r="F13" s="6" t="inlineStr">
        <is>
          <t>#022  Double rare  $2.25</t>
        </is>
      </c>
      <c r="G13" s="7">
        <f>HYPERLINK("https://youtu.be/QKYrh9l8BYA","watch")</f>
        <v/>
      </c>
      <c r="H13" s="6" t="inlineStr">
        <is>
          <t>Chaos Rising ETB ⚡🔥 | Pack #6 (We NEED A Hit 😬)</t>
        </is>
      </c>
    </row>
    <row r="14">
      <c r="A14" s="9" t="inlineStr"/>
      <c r="B14" s="6" t="inlineStr">
        <is>
          <t>Mega Gardevoir ex</t>
        </is>
      </c>
      <c r="C14" s="6" t="inlineStr">
        <is>
          <t>Mega Evolution</t>
        </is>
      </c>
      <c r="D14" s="6" t="inlineStr">
        <is>
          <t>Ultra Rare</t>
        </is>
      </c>
      <c r="E14" s="6" t="inlineStr">
        <is>
          <t>#187  Mega Hyper Rare  $203.42</t>
        </is>
      </c>
      <c r="F14" s="6" t="inlineStr">
        <is>
          <t>#159  Ultra Rare  $5.29</t>
        </is>
      </c>
      <c r="G14" s="7">
        <f>HYPERLINK("https://youtu.be/kj7532tb0_I","watch")</f>
        <v/>
      </c>
      <c r="H14" s="6" t="inlineStr">
        <is>
          <t>Only Garbage Rips from the Latest Costco Charizard UPC Drop</t>
        </is>
      </c>
    </row>
    <row r="15">
      <c r="A15" s="9" t="inlineStr"/>
      <c r="B15" s="6" t="inlineStr">
        <is>
          <t>Mega Greninja ex</t>
        </is>
      </c>
      <c r="C15" s="6" t="inlineStr">
        <is>
          <t>Chaos Rising</t>
        </is>
      </c>
      <c r="D15" s="6" t="inlineStr">
        <is>
          <t>Ultra Rare</t>
        </is>
      </c>
      <c r="E15" s="6" t="inlineStr">
        <is>
          <t>#116  Special illustration rare  $208.26</t>
        </is>
      </c>
      <c r="F15" s="6" t="inlineStr">
        <is>
          <t>#100  Ultra Rare  $12.96</t>
        </is>
      </c>
      <c r="G15" s="7">
        <f>HYPERLINK("https://youtu.be/udV4EBssAj0","watch")</f>
        <v/>
      </c>
      <c r="H15" s="6" t="inlineStr">
        <is>
          <t>Chaos Rising Booster Bundle #2 ⚡🔥 | Pack #5 (PLEASE Save This Bundle 😬)</t>
        </is>
      </c>
    </row>
    <row r="16">
      <c r="A16" s="9" t="inlineStr"/>
      <c r="B16" s="6" t="inlineStr">
        <is>
          <t>Jolteon ex</t>
        </is>
      </c>
      <c r="C16" s="6" t="inlineStr">
        <is>
          <t>Prismatic Evolutions</t>
        </is>
      </c>
      <c r="D16" s="6" t="inlineStr">
        <is>
          <t>Double Rare</t>
        </is>
      </c>
      <c r="E16" s="6" t="inlineStr">
        <is>
          <t>#153  Special illustration rare  $192.50</t>
        </is>
      </c>
      <c r="F16" s="6" t="inlineStr">
        <is>
          <t>#030  Double rare  $3.91</t>
        </is>
      </c>
      <c r="G16" s="7">
        <f>HYPERLINK("https://youtu.be/AqZBxDu2wkc","watch")</f>
        <v/>
      </c>
      <c r="H16" s="6" t="inlineStr">
        <is>
          <t>Only Garbage Rips? 😬 | Prismatic Evolutions Booster Packs</t>
        </is>
      </c>
    </row>
    <row r="17">
      <c r="A17" s="9" t="inlineStr"/>
      <c r="B17" s="6" t="inlineStr">
        <is>
          <t>Ethan's Ho-Oh ex</t>
        </is>
      </c>
      <c r="C17" s="6" t="inlineStr">
        <is>
          <t>Destined Rivals</t>
        </is>
      </c>
      <c r="D17" s="6" t="inlineStr">
        <is>
          <t>Ultra Rare</t>
        </is>
      </c>
      <c r="E17" s="6" t="inlineStr">
        <is>
          <t>#230  Special illustration rare  $150.00</t>
        </is>
      </c>
      <c r="F17" s="6" t="inlineStr">
        <is>
          <t>#209  Ultra Rare  $5.81</t>
        </is>
      </c>
      <c r="G17" s="7">
        <f>HYPERLINK("https://youtu.be/25YT9cNRpqk","watch")</f>
        <v/>
      </c>
      <c r="H17" s="6" t="inlineStr">
        <is>
          <t>Only Garbage Rips? 😬 | Destined Rivals Pack #11</t>
        </is>
      </c>
    </row>
    <row r="18">
      <c r="A18" s="9" t="inlineStr"/>
      <c r="B18" s="6" t="inlineStr">
        <is>
          <t>Mega Venusaur ex</t>
        </is>
      </c>
      <c r="C18" s="6" t="inlineStr">
        <is>
          <t>Mega Evolution</t>
        </is>
      </c>
      <c r="D18" s="6" t="inlineStr">
        <is>
          <t>Double Rare</t>
        </is>
      </c>
      <c r="E18" s="6" t="inlineStr">
        <is>
          <t>#177  Special illustration rare  $145.14</t>
        </is>
      </c>
      <c r="F18" s="6" t="inlineStr">
        <is>
          <t>#003  Double rare  $1.09</t>
        </is>
      </c>
      <c r="G18" s="7">
        <f>HYPERLINK("https://youtu.be/kj7532tb0_I","watch")</f>
        <v/>
      </c>
      <c r="H18" s="6" t="inlineStr">
        <is>
          <t>Only Garbage Rips from the Latest Costco Charizard UPC Drop</t>
        </is>
      </c>
    </row>
    <row r="19">
      <c r="A19" s="9" t="inlineStr"/>
      <c r="B19" s="6" t="inlineStr">
        <is>
          <t>Mega Venusaur ex</t>
        </is>
      </c>
      <c r="C19" s="6" t="inlineStr">
        <is>
          <t>Mega Evolution</t>
        </is>
      </c>
      <c r="D19" s="6" t="inlineStr">
        <is>
          <t>Double Rare</t>
        </is>
      </c>
      <c r="E19" s="6" t="inlineStr">
        <is>
          <t>#177  Special illustration rare  $145.14</t>
        </is>
      </c>
      <c r="F19" s="6" t="inlineStr">
        <is>
          <t>#003  Double rare  $1.09</t>
        </is>
      </c>
      <c r="G19" s="7">
        <f>HYPERLINK("https://youtu.be/4z82NZ7QCJY","watch")</f>
        <v/>
      </c>
      <c r="H19" s="6" t="inlineStr">
        <is>
          <t>First Partner Collection Box #3 🎨 | 151 Starter Hunt Continues…</t>
        </is>
      </c>
    </row>
    <row r="20">
      <c r="A20" s="9" t="inlineStr"/>
      <c r="B20" s="6" t="inlineStr">
        <is>
          <t>Mega Venusaur ex</t>
        </is>
      </c>
      <c r="C20" s="6" t="inlineStr">
        <is>
          <t>Mega Evolution</t>
        </is>
      </c>
      <c r="D20" s="6" t="inlineStr">
        <is>
          <t>Double Rare</t>
        </is>
      </c>
      <c r="E20" s="6" t="inlineStr">
        <is>
          <t>#177  Special illustration rare  $145.14</t>
        </is>
      </c>
      <c r="F20" s="6" t="inlineStr">
        <is>
          <t>#003  Double rare  $1.09</t>
        </is>
      </c>
      <c r="G20" s="7">
        <f>HYPERLINK("https://youtu.be/zIn3mWKwkyg","watch")</f>
        <v/>
      </c>
      <c r="H20" s="6" t="inlineStr">
        <is>
          <t>Pokémon Day 2026 🎉 | 30th Anniversary Pikachu Promo Opening 😬</t>
        </is>
      </c>
    </row>
    <row r="21">
      <c r="A21" s="9" t="inlineStr"/>
      <c r="B21" s="6" t="inlineStr">
        <is>
          <t>Mega Zygarde ex</t>
        </is>
      </c>
      <c r="C21" s="6" t="inlineStr">
        <is>
          <t>Perfect Order</t>
        </is>
      </c>
      <c r="D21" s="6" t="inlineStr">
        <is>
          <t>Double Rare</t>
        </is>
      </c>
      <c r="E21" s="6" t="inlineStr">
        <is>
          <t>#124  Mega Hyper Rare  $126.56</t>
        </is>
      </c>
      <c r="F21" s="6" t="inlineStr">
        <is>
          <t>#047  Double rare  $1.10</t>
        </is>
      </c>
      <c r="G21" s="7">
        <f>HYPERLINK("https://youtu.be/Y6rNMk6_kFs","watch")</f>
        <v/>
      </c>
      <c r="H21" s="6" t="inlineStr">
        <is>
          <t>Only Garbage Rips? 😬 | Perfect Order Bundle #2 Pack #2</t>
        </is>
      </c>
    </row>
    <row r="22">
      <c r="A22" s="9" t="inlineStr"/>
      <c r="B22" s="6" t="inlineStr">
        <is>
          <t>Meowth ex</t>
        </is>
      </c>
      <c r="C22" s="6" t="inlineStr">
        <is>
          <t>Perfect Order</t>
        </is>
      </c>
      <c r="D22" s="6" t="inlineStr">
        <is>
          <t>Double Rare</t>
        </is>
      </c>
      <c r="E22" s="6" t="inlineStr">
        <is>
          <t>#121  Special illustration rare  $126.17</t>
        </is>
      </c>
      <c r="F22" s="6" t="inlineStr">
        <is>
          <t>#062  Double rare  $2.85</t>
        </is>
      </c>
      <c r="G22" s="7">
        <f>HYPERLINK("https://youtu.be/lcxUwIjlqZY","watch")</f>
        <v/>
      </c>
      <c r="H22" s="6" t="inlineStr">
        <is>
          <t>Mega Zygarde ex Premium Collection ⚡🔥 | Pack #4 (We NEED A Hit 😬)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2" customWidth="1" min="4" max="4"/>
    <col width="30" customWidth="1" min="5" max="5"/>
    <col width="30" customWidth="1" min="6" max="6"/>
    <col width="13" customWidth="1" min="7" max="7"/>
    <col width="9" customWidth="1" min="8" max="8"/>
    <col width="46" customWidth="1" min="9" max="9"/>
  </cols>
  <sheetData>
    <row r="1" ht="24" customHeight="1">
      <c r="A1" s="3" t="inlineStr">
        <is>
          <t>Correct?</t>
        </is>
      </c>
      <c r="B1" s="3" t="inlineStr">
        <is>
          <t>Card</t>
        </is>
      </c>
      <c r="C1" s="3" t="inlineStr">
        <is>
          <t>Set</t>
        </is>
      </c>
      <c r="D1" s="3" t="inlineStr">
        <is>
          <t>You typed</t>
        </is>
      </c>
      <c r="E1" s="3" t="inlineStr">
        <is>
          <t>WAS (wrong)</t>
        </is>
      </c>
      <c r="F1" s="3" t="inlineStr">
        <is>
          <t>NOW (on the site)</t>
        </is>
      </c>
      <c r="G1" s="3" t="inlineStr">
        <is>
          <t>Value change</t>
        </is>
      </c>
      <c r="H1" s="3" t="inlineStr">
        <is>
          <t>Watch</t>
        </is>
      </c>
      <c r="I1" s="3" t="inlineStr">
        <is>
          <t>Video</t>
        </is>
      </c>
    </row>
    <row r="2">
      <c r="A2" s="10" t="n"/>
      <c r="B2" s="6" t="inlineStr">
        <is>
          <t>Mega Dragonite ex</t>
        </is>
      </c>
      <c r="C2" s="6" t="inlineStr">
        <is>
          <t>Ascended Heroes</t>
        </is>
      </c>
      <c r="D2" s="6" t="inlineStr">
        <is>
          <t>Double Rare</t>
        </is>
      </c>
      <c r="E2" s="6" t="inlineStr">
        <is>
          <t>#290  Special illustration rare  $668.50</t>
        </is>
      </c>
      <c r="F2" s="6" t="inlineStr">
        <is>
          <t>#152  Double rare  $4.56</t>
        </is>
      </c>
      <c r="G2" s="11" t="n">
        <v>-663.9400000000001</v>
      </c>
      <c r="H2" s="7">
        <f>HYPERLINK("https://youtu.be/LlGPrTKqIYg","watch")</f>
        <v/>
      </c>
      <c r="I2" s="6" t="inlineStr">
        <is>
          <t>Ascended Heroes Tech Sticker Collection 👻 | Gastly Promo</t>
        </is>
      </c>
    </row>
    <row r="3">
      <c r="A3" s="10" t="n"/>
      <c r="B3" s="6" t="inlineStr">
        <is>
          <t>Mega Charizard Y ex</t>
        </is>
      </c>
      <c r="C3" s="6" t="inlineStr">
        <is>
          <t>Ascended Heroes</t>
        </is>
      </c>
      <c r="D3" s="6" t="inlineStr">
        <is>
          <t>Double Rare</t>
        </is>
      </c>
      <c r="E3" s="6" t="inlineStr">
        <is>
          <t>#294  Mega Hyper Rare  $363.43</t>
        </is>
      </c>
      <c r="F3" s="6" t="inlineStr">
        <is>
          <t>#022  Double rare  $5.46</t>
        </is>
      </c>
      <c r="G3" s="11" t="n">
        <v>-357.97</v>
      </c>
      <c r="H3" s="7">
        <f>HYPERLINK("https://youtu.be/-e9F0ufKpIQ","watch")</f>
        <v/>
      </c>
      <c r="I3" s="6" t="inlineStr">
        <is>
          <t>Ascended Heroes Elite Trainer Box Pack #1 ⚡ | 9 Packs. 9 Chances.</t>
        </is>
      </c>
    </row>
    <row r="4">
      <c r="A4" s="10" t="n"/>
      <c r="B4" s="6" t="inlineStr">
        <is>
          <t>Mega Greninja ex</t>
        </is>
      </c>
      <c r="C4" s="6" t="inlineStr">
        <is>
          <t>Chaos Rising</t>
        </is>
      </c>
      <c r="D4" s="6" t="inlineStr">
        <is>
          <t>Double Rare</t>
        </is>
      </c>
      <c r="E4" s="6" t="inlineStr">
        <is>
          <t>#116  Special illustration rare  $208.26</t>
        </is>
      </c>
      <c r="F4" s="6" t="inlineStr">
        <is>
          <t>#022  Double rare  $2.25</t>
        </is>
      </c>
      <c r="G4" s="11" t="n">
        <v>-206.01</v>
      </c>
      <c r="H4" s="7">
        <f>HYPERLINK("https://youtu.be/QKYrh9l8BYA","watch")</f>
        <v/>
      </c>
      <c r="I4" s="6" t="inlineStr">
        <is>
          <t>Chaos Rising ETB ⚡🔥 | Pack #6 (We NEED A Hit 😬)</t>
        </is>
      </c>
    </row>
    <row r="5">
      <c r="A5" s="10" t="n"/>
      <c r="B5" s="6" t="inlineStr">
        <is>
          <t>Mega Gardevoir ex</t>
        </is>
      </c>
      <c r="C5" s="6" t="inlineStr">
        <is>
          <t>Mega Evolution</t>
        </is>
      </c>
      <c r="D5" s="6" t="inlineStr">
        <is>
          <t>Ultra Rare</t>
        </is>
      </c>
      <c r="E5" s="6" t="inlineStr">
        <is>
          <t>#187  Mega Hyper Rare  $203.42</t>
        </is>
      </c>
      <c r="F5" s="6" t="inlineStr">
        <is>
          <t>#159  Ultra Rare  $5.29</t>
        </is>
      </c>
      <c r="G5" s="11" t="n">
        <v>-198.13</v>
      </c>
      <c r="H5" s="7">
        <f>HYPERLINK("https://youtu.be/kj7532tb0_I","watch")</f>
        <v/>
      </c>
      <c r="I5" s="6" t="inlineStr">
        <is>
          <t>Only Garbage Rips from the Latest Costco Charizard UPC Drop</t>
        </is>
      </c>
    </row>
    <row r="6">
      <c r="A6" s="10" t="n"/>
      <c r="B6" s="6" t="inlineStr">
        <is>
          <t>Mega Greninja ex</t>
        </is>
      </c>
      <c r="C6" s="6" t="inlineStr">
        <is>
          <t>Chaos Rising</t>
        </is>
      </c>
      <c r="D6" s="6" t="inlineStr">
        <is>
          <t>Ultra Rare</t>
        </is>
      </c>
      <c r="E6" s="6" t="inlineStr">
        <is>
          <t>#116  Special illustration rare  $208.26</t>
        </is>
      </c>
      <c r="F6" s="6" t="inlineStr">
        <is>
          <t>#100  Ultra Rare  $12.96</t>
        </is>
      </c>
      <c r="G6" s="11" t="n">
        <v>-195.3</v>
      </c>
      <c r="H6" s="7">
        <f>HYPERLINK("https://youtu.be/udV4EBssAj0","watch")</f>
        <v/>
      </c>
      <c r="I6" s="6" t="inlineStr">
        <is>
          <t>Chaos Rising Booster Bundle #2 ⚡🔥 | Pack #5 (PLEASE Save This Bundle 😬)</t>
        </is>
      </c>
    </row>
    <row r="7">
      <c r="A7" s="10" t="n"/>
      <c r="B7" s="6" t="inlineStr">
        <is>
          <t>Jolteon ex</t>
        </is>
      </c>
      <c r="C7" s="6" t="inlineStr">
        <is>
          <t>Prismatic Evolutions</t>
        </is>
      </c>
      <c r="D7" s="6" t="inlineStr">
        <is>
          <t>Double Rare</t>
        </is>
      </c>
      <c r="E7" s="6" t="inlineStr">
        <is>
          <t>#153  Special illustration rare  $192.50</t>
        </is>
      </c>
      <c r="F7" s="6" t="inlineStr">
        <is>
          <t>#030  Double rare  $3.91</t>
        </is>
      </c>
      <c r="G7" s="11" t="n">
        <v>-188.59</v>
      </c>
      <c r="H7" s="7">
        <f>HYPERLINK("https://youtu.be/AqZBxDu2wkc","watch")</f>
        <v/>
      </c>
      <c r="I7" s="6" t="inlineStr">
        <is>
          <t>Only Garbage Rips? 😬 | Prismatic Evolutions Booster Packs</t>
        </is>
      </c>
    </row>
    <row r="8">
      <c r="A8" s="10" t="n"/>
      <c r="B8" s="6" t="inlineStr">
        <is>
          <t>Ethan's Ho-Oh ex</t>
        </is>
      </c>
      <c r="C8" s="6" t="inlineStr">
        <is>
          <t>Destined Rivals</t>
        </is>
      </c>
      <c r="D8" s="6" t="inlineStr">
        <is>
          <t>Ultra Rare</t>
        </is>
      </c>
      <c r="E8" s="6" t="inlineStr">
        <is>
          <t>#230  Special illustration rare  $150.00</t>
        </is>
      </c>
      <c r="F8" s="6" t="inlineStr">
        <is>
          <t>#209  Ultra Rare  $5.81</t>
        </is>
      </c>
      <c r="G8" s="11" t="n">
        <v>-144.19</v>
      </c>
      <c r="H8" s="7">
        <f>HYPERLINK("https://youtu.be/25YT9cNRpqk","watch")</f>
        <v/>
      </c>
      <c r="I8" s="6" t="inlineStr">
        <is>
          <t>Only Garbage Rips? 😬 | Destined Rivals Pack #11</t>
        </is>
      </c>
    </row>
    <row r="9">
      <c r="A9" s="10" t="n"/>
      <c r="B9" s="6" t="inlineStr">
        <is>
          <t>Mega Venusaur ex</t>
        </is>
      </c>
      <c r="C9" s="6" t="inlineStr">
        <is>
          <t>Mega Evolution</t>
        </is>
      </c>
      <c r="D9" s="6" t="inlineStr">
        <is>
          <t>Double Rare</t>
        </is>
      </c>
      <c r="E9" s="6" t="inlineStr">
        <is>
          <t>#177  Special illustration rare  $145.14</t>
        </is>
      </c>
      <c r="F9" s="6" t="inlineStr">
        <is>
          <t>#003  Double rare  $1.09</t>
        </is>
      </c>
      <c r="G9" s="11" t="n">
        <v>-144.05</v>
      </c>
      <c r="H9" s="7">
        <f>HYPERLINK("https://youtu.be/kj7532tb0_I","watch")</f>
        <v/>
      </c>
      <c r="I9" s="6" t="inlineStr">
        <is>
          <t>Only Garbage Rips from the Latest Costco Charizard UPC Drop</t>
        </is>
      </c>
    </row>
    <row r="10">
      <c r="A10" s="10" t="n"/>
      <c r="B10" s="6" t="inlineStr">
        <is>
          <t>Mega Venusaur ex</t>
        </is>
      </c>
      <c r="C10" s="6" t="inlineStr">
        <is>
          <t>Mega Evolution</t>
        </is>
      </c>
      <c r="D10" s="6" t="inlineStr">
        <is>
          <t>Double Rare</t>
        </is>
      </c>
      <c r="E10" s="6" t="inlineStr">
        <is>
          <t>#177  Special illustration rare  $145.14</t>
        </is>
      </c>
      <c r="F10" s="6" t="inlineStr">
        <is>
          <t>#003  Double rare  $1.09</t>
        </is>
      </c>
      <c r="G10" s="11" t="n">
        <v>-144.05</v>
      </c>
      <c r="H10" s="7">
        <f>HYPERLINK("https://youtu.be/4z82NZ7QCJY","watch")</f>
        <v/>
      </c>
      <c r="I10" s="6" t="inlineStr">
        <is>
          <t>First Partner Collection Box #3 🎨 | 151 Starter Hunt Continues…</t>
        </is>
      </c>
    </row>
    <row r="11">
      <c r="A11" s="10" t="n"/>
      <c r="B11" s="6" t="inlineStr">
        <is>
          <t>Mega Venusaur ex</t>
        </is>
      </c>
      <c r="C11" s="6" t="inlineStr">
        <is>
          <t>Mega Evolution</t>
        </is>
      </c>
      <c r="D11" s="6" t="inlineStr">
        <is>
          <t>Double Rare</t>
        </is>
      </c>
      <c r="E11" s="6" t="inlineStr">
        <is>
          <t>#177  Special illustration rare  $145.14</t>
        </is>
      </c>
      <c r="F11" s="6" t="inlineStr">
        <is>
          <t>#003  Double rare  $1.09</t>
        </is>
      </c>
      <c r="G11" s="11" t="n">
        <v>-144.05</v>
      </c>
      <c r="H11" s="7">
        <f>HYPERLINK("https://youtu.be/zIn3mWKwkyg","watch")</f>
        <v/>
      </c>
      <c r="I11" s="6" t="inlineStr">
        <is>
          <t>Pokémon Day 2026 🎉 | 30th Anniversary Pikachu Promo Opening 😬</t>
        </is>
      </c>
    </row>
    <row r="12">
      <c r="A12" s="10" t="n"/>
      <c r="B12" s="6" t="inlineStr">
        <is>
          <t>Mega Zygarde ex</t>
        </is>
      </c>
      <c r="C12" s="6" t="inlineStr">
        <is>
          <t>Perfect Order</t>
        </is>
      </c>
      <c r="D12" s="6" t="inlineStr">
        <is>
          <t>Double Rare</t>
        </is>
      </c>
      <c r="E12" s="6" t="inlineStr">
        <is>
          <t>#124  Mega Hyper Rare  $126.56</t>
        </is>
      </c>
      <c r="F12" s="6" t="inlineStr">
        <is>
          <t>#047  Double rare  $1.10</t>
        </is>
      </c>
      <c r="G12" s="11" t="n">
        <v>-125.46</v>
      </c>
      <c r="H12" s="7">
        <f>HYPERLINK("https://youtu.be/Y6rNMk6_kFs","watch")</f>
        <v/>
      </c>
      <c r="I12" s="6" t="inlineStr">
        <is>
          <t>Only Garbage Rips? 😬 | Perfect Order Bundle #2 Pack #2</t>
        </is>
      </c>
    </row>
    <row r="13">
      <c r="A13" s="10" t="n"/>
      <c r="B13" s="6" t="inlineStr">
        <is>
          <t>Meowth ex</t>
        </is>
      </c>
      <c r="C13" s="6" t="inlineStr">
        <is>
          <t>Perfect Order</t>
        </is>
      </c>
      <c r="D13" s="6" t="inlineStr">
        <is>
          <t>Double Rare</t>
        </is>
      </c>
      <c r="E13" s="6" t="inlineStr">
        <is>
          <t>#121  Special illustration rare  $126.17</t>
        </is>
      </c>
      <c r="F13" s="6" t="inlineStr">
        <is>
          <t>#062  Double rare  $2.85</t>
        </is>
      </c>
      <c r="G13" s="11" t="n">
        <v>-123.32</v>
      </c>
      <c r="H13" s="7">
        <f>HYPERLINK("https://youtu.be/lcxUwIjlqZY","watch")</f>
        <v/>
      </c>
      <c r="I13" s="6" t="inlineStr">
        <is>
          <t>Mega Zygarde ex Premium Collection ⚡🔥 | Pack #4 (We NEED A Hit 😬)</t>
        </is>
      </c>
    </row>
    <row r="14">
      <c r="A14" s="10" t="n"/>
      <c r="B14" s="6" t="inlineStr">
        <is>
          <t>Meowth ex</t>
        </is>
      </c>
      <c r="C14" s="6" t="inlineStr">
        <is>
          <t>Perfect Order</t>
        </is>
      </c>
      <c r="D14" s="6" t="inlineStr">
        <is>
          <t>Double Rare</t>
        </is>
      </c>
      <c r="E14" s="6" t="inlineStr">
        <is>
          <t>#121  Special illustration rare  $126.17</t>
        </is>
      </c>
      <c r="F14" s="6" t="inlineStr">
        <is>
          <t>#062  Double rare  $2.85</t>
        </is>
      </c>
      <c r="G14" s="11" t="n">
        <v>-123.32</v>
      </c>
      <c r="H14" s="7">
        <f>HYPERLINK("https://youtu.be/vZT6BI7EcQM","watch")</f>
        <v/>
      </c>
      <c r="I14" s="6" t="inlineStr">
        <is>
          <t>Perfect Order ETB ⚡ | Pack #7 Running Out Of Chances 😬</t>
        </is>
      </c>
    </row>
    <row r="15">
      <c r="A15" s="10" t="n"/>
      <c r="B15" s="6" t="inlineStr">
        <is>
          <t>Lillie's Clefairy ex</t>
        </is>
      </c>
      <c r="C15" s="6" t="inlineStr">
        <is>
          <t>Journey Together</t>
        </is>
      </c>
      <c r="D15" s="6" t="inlineStr">
        <is>
          <t>Double Rare</t>
        </is>
      </c>
      <c r="E15" s="6" t="inlineStr">
        <is>
          <t>#184  Special illustration rare  $97.23</t>
        </is>
      </c>
      <c r="F15" s="6" t="inlineStr">
        <is>
          <t>#056  Double rare  $2.96</t>
        </is>
      </c>
      <c r="G15" s="11" t="n">
        <v>-94.27</v>
      </c>
      <c r="H15" s="7">
        <f>HYPERLINK("https://youtu.be/LGzHC-k4vh0","watch")</f>
        <v/>
      </c>
      <c r="I15" s="6" t="inlineStr">
        <is>
          <t>FINAL Journey Together Booster Bundle Pack ⚡ | Last Pack Magic?! 😬</t>
        </is>
      </c>
    </row>
    <row r="16">
      <c r="A16" s="10" t="n"/>
      <c r="B16" s="6" t="inlineStr">
        <is>
          <t>Team Rocket's Crobat ex</t>
        </is>
      </c>
      <c r="C16" s="6" t="inlineStr">
        <is>
          <t>Destined Rivals</t>
        </is>
      </c>
      <c r="D16" s="6" t="inlineStr">
        <is>
          <t>Double Rare</t>
        </is>
      </c>
      <c r="E16" s="6" t="inlineStr">
        <is>
          <t>#234  Special illustration rare  $60.86</t>
        </is>
      </c>
      <c r="F16" s="6" t="inlineStr">
        <is>
          <t>#122  Double rare  $0.99</t>
        </is>
      </c>
      <c r="G16" s="11" t="n">
        <v>-59.87</v>
      </c>
      <c r="H16" s="7">
        <f>HYPERLINK("https://youtu.be/gq4wUMrTrB0","watch")</f>
        <v/>
      </c>
      <c r="I16" s="6" t="inlineStr">
        <is>
          <t>Destined Rivals Pack #7 ⚡ | Can We Go EVEN Bigger?! 😬</t>
        </is>
      </c>
    </row>
    <row r="17">
      <c r="A17" s="10" t="n"/>
      <c r="B17" s="6" t="inlineStr">
        <is>
          <t>Iono's Bellibolt ex</t>
        </is>
      </c>
      <c r="C17" s="6" t="inlineStr">
        <is>
          <t>Ascended Heroes</t>
        </is>
      </c>
      <c r="D17" s="6" t="inlineStr">
        <is>
          <t>Double Rare</t>
        </is>
      </c>
      <c r="E17" s="6" t="inlineStr">
        <is>
          <t>#279  Special illustration rare  $60.13</t>
        </is>
      </c>
      <c r="F17" s="6" t="inlineStr">
        <is>
          <t>#070  Double rare  $1.33</t>
        </is>
      </c>
      <c r="G17" s="11" t="n">
        <v>-58.8</v>
      </c>
      <c r="H17" s="7">
        <f>HYPERLINK("https://youtu.be/vW8lkXEx3Ao","watch")</f>
        <v/>
      </c>
      <c r="I17" s="6" t="inlineStr">
        <is>
          <t>FINAL Ascended Heroes Bundle #2 Pack ⚡ | Last Pack Magic?! 😳</t>
        </is>
      </c>
    </row>
    <row r="18">
      <c r="A18" s="10" t="n"/>
      <c r="B18" s="6" t="inlineStr">
        <is>
          <t>Cinccino ex</t>
        </is>
      </c>
      <c r="C18" s="6" t="inlineStr">
        <is>
          <t>Chaos Rising</t>
        </is>
      </c>
      <c r="D18" s="6" t="inlineStr">
        <is>
          <t>Double Rare</t>
        </is>
      </c>
      <c r="E18" s="6" t="inlineStr">
        <is>
          <t>#119  Special illustration rare  $57.17</t>
        </is>
      </c>
      <c r="F18" s="6" t="inlineStr">
        <is>
          <t>#073  Double rare  $1.15</t>
        </is>
      </c>
      <c r="G18" s="11" t="n">
        <v>-56.02</v>
      </c>
      <c r="H18" s="7">
        <f>HYPERLINK("https://youtu.be/O5WscUY7qZI","watch")</f>
        <v/>
      </c>
      <c r="I18" s="6" t="inlineStr">
        <is>
          <t>The Cutest Pull Ever?! 🐭✨ Chaos Rising</t>
        </is>
      </c>
    </row>
    <row r="19">
      <c r="A19" s="10" t="n"/>
      <c r="B19" s="6" t="inlineStr">
        <is>
          <t>Mega Hawlucha ex</t>
        </is>
      </c>
      <c r="C19" s="6" t="inlineStr">
        <is>
          <t>Ascended Heroes</t>
        </is>
      </c>
      <c r="D19" s="6" t="inlineStr">
        <is>
          <t>Double Rare</t>
        </is>
      </c>
      <c r="E19" s="6" t="inlineStr">
        <is>
          <t>#283  Special illustration rare  $56.25</t>
        </is>
      </c>
      <c r="F19" s="6" t="inlineStr">
        <is>
          <t>#116  Double rare  $1.71</t>
        </is>
      </c>
      <c r="G19" s="11" t="n">
        <v>-54.54</v>
      </c>
      <c r="H19" s="7">
        <f>HYPERLINK("https://youtu.be/hOBpKIl2lX4","watch")</f>
        <v/>
      </c>
      <c r="I19" s="6" t="inlineStr">
        <is>
          <t>Mega Meganium ex Box 🌿🔥 | Pack #3 (We NEED A Hit 😬)</t>
        </is>
      </c>
    </row>
    <row r="20">
      <c r="A20" s="10" t="n"/>
      <c r="B20" s="6" t="inlineStr">
        <is>
          <t>Mega Clefable ex</t>
        </is>
      </c>
      <c r="C20" s="6" t="inlineStr">
        <is>
          <t>Perfect Order</t>
        </is>
      </c>
      <c r="D20" s="6" t="inlineStr">
        <is>
          <t>Double Rare</t>
        </is>
      </c>
      <c r="E20" s="6" t="inlineStr">
        <is>
          <t>#119  Special illustration rare  $55.00</t>
        </is>
      </c>
      <c r="F20" s="6" t="inlineStr">
        <is>
          <t>#031  Double rare  $1.23</t>
        </is>
      </c>
      <c r="G20" s="11" t="n">
        <v>-53.77</v>
      </c>
      <c r="H20" s="7">
        <f>HYPERLINK("https://youtu.be/sS0fvyss7IM","watch")</f>
        <v/>
      </c>
      <c r="I20" s="6" t="inlineStr">
        <is>
          <t>FINAL Perfect Order Pack?! 😳 | Mega Zygarde Collection Pack #6</t>
        </is>
      </c>
    </row>
    <row r="21">
      <c r="A21" s="10" t="n"/>
      <c r="B21" s="6" t="inlineStr">
        <is>
          <t>Mega Clefable ex</t>
        </is>
      </c>
      <c r="C21" s="6" t="inlineStr">
        <is>
          <t>Perfect Order</t>
        </is>
      </c>
      <c r="D21" s="6" t="inlineStr">
        <is>
          <t>Double Rare</t>
        </is>
      </c>
      <c r="E21" s="6" t="inlineStr">
        <is>
          <t>#119  Special illustration rare  $55.00</t>
        </is>
      </c>
      <c r="F21" s="6" t="inlineStr">
        <is>
          <t>#031  Double rare  $1.23</t>
        </is>
      </c>
      <c r="G21" s="11" t="n">
        <v>-53.77</v>
      </c>
      <c r="H21" s="7">
        <f>HYPERLINK("https://youtu.be/uyiszkVXiUQ","watch")</f>
        <v/>
      </c>
      <c r="I21" s="6" t="inlineStr">
        <is>
          <t>Perfect Order ETB ⚡ | Pack #4 Is This The One?</t>
        </is>
      </c>
    </row>
    <row r="22">
      <c r="A22" s="10" t="n"/>
      <c r="B22" s="6" t="inlineStr">
        <is>
          <t>Mega Scrafty ex</t>
        </is>
      </c>
      <c r="C22" s="6" t="inlineStr">
        <is>
          <t>Ascended Heroes</t>
        </is>
      </c>
      <c r="D22" s="6" t="inlineStr">
        <is>
          <t>Double Rare</t>
        </is>
      </c>
      <c r="E22" s="6" t="inlineStr">
        <is>
          <t>#285  Special illustration rare  $55.50</t>
        </is>
      </c>
      <c r="F22" s="6" t="inlineStr">
        <is>
          <t>#135  Double rare  $1.75</t>
        </is>
      </c>
      <c r="G22" s="11" t="n">
        <v>-53.75</v>
      </c>
      <c r="H22" s="7">
        <f>HYPERLINK("https://youtu.be/nBKJMnw9L2Y","watch")</f>
        <v/>
      </c>
      <c r="I22" s="6" t="inlineStr">
        <is>
          <t>Finally! An ex Hit! ⚡ | Mega Emboar Box #2</t>
        </is>
      </c>
    </row>
    <row r="23">
      <c r="A23" s="10" t="n"/>
      <c r="B23" s="6" t="inlineStr">
        <is>
          <t>Mega Scrafty ex</t>
        </is>
      </c>
      <c r="C23" s="6" t="inlineStr">
        <is>
          <t>Ascended Heroes</t>
        </is>
      </c>
      <c r="D23" s="6" t="inlineStr">
        <is>
          <t>Double Rare</t>
        </is>
      </c>
      <c r="E23" s="6" t="inlineStr">
        <is>
          <t>#285  Special illustration rare  $55.50</t>
        </is>
      </c>
      <c r="F23" s="6" t="inlineStr">
        <is>
          <t>#135  Double rare  $1.75</t>
        </is>
      </c>
      <c r="G23" s="11" t="n">
        <v>-53.75</v>
      </c>
      <c r="H23" s="7">
        <f>HYPERLINK("https://youtu.be/Nqu1vGtbAME","watch")</f>
        <v/>
      </c>
      <c r="I23" s="6" t="inlineStr">
        <is>
          <t>Mega Meganium ex Box #2 🌿🔥 | Pack #2 (WE GOT ONE!)</t>
        </is>
      </c>
    </row>
    <row r="24">
      <c r="A24" s="10" t="n"/>
      <c r="B24" s="6" t="inlineStr">
        <is>
          <t>Mega Froslass ex</t>
        </is>
      </c>
      <c r="C24" s="6" t="inlineStr">
        <is>
          <t>Ascended Heroes</t>
        </is>
      </c>
      <c r="D24" s="6" t="inlineStr">
        <is>
          <t>Ultra Rare</t>
        </is>
      </c>
      <c r="E24" s="6" t="inlineStr">
        <is>
          <t>#275  Special illustration rare  $63.75</t>
        </is>
      </c>
      <c r="F24" s="6" t="inlineStr">
        <is>
          <t>#265  Ultra Rare  $10.02</t>
        </is>
      </c>
      <c r="G24" s="11" t="n">
        <v>-53.73</v>
      </c>
      <c r="H24" s="7">
        <f>HYPERLINK("https://youtu.be/sdZx0lmq2mQ","watch")</f>
        <v/>
      </c>
      <c r="I24" s="6" t="inlineStr">
        <is>
          <t>Ascended Heroes Mini Tin #3 ⚡ | Is This The One?</t>
        </is>
      </c>
    </row>
    <row r="25">
      <c r="A25" s="10" t="n"/>
      <c r="B25" s="6" t="inlineStr">
        <is>
          <t>Mega Clefable ex</t>
        </is>
      </c>
      <c r="C25" s="6" t="inlineStr">
        <is>
          <t>Perfect Order</t>
        </is>
      </c>
      <c r="D25" s="6" t="inlineStr">
        <is>
          <t>Ultra Rare</t>
        </is>
      </c>
      <c r="E25" s="6" t="inlineStr">
        <is>
          <t>#119  Special illustration rare  $55.00</t>
        </is>
      </c>
      <c r="F25" s="6" t="inlineStr">
        <is>
          <t>#103  Ultra Rare  $6.49</t>
        </is>
      </c>
      <c r="G25" s="11" t="n">
        <v>-48.51</v>
      </c>
      <c r="H25" s="7">
        <f>HYPERLINK("https://youtu.be/DMJYnQE8shY","watch")</f>
        <v/>
      </c>
      <c r="I25" s="6" t="inlineStr">
        <is>
          <t>Perfect Order ETB ⚡ | Pack #3 Getting Lucky?</t>
        </is>
      </c>
    </row>
    <row r="26">
      <c r="A26" s="10" t="n"/>
      <c r="B26" s="6" t="inlineStr">
        <is>
          <t>Mega Clefable ex</t>
        </is>
      </c>
      <c r="C26" s="6" t="inlineStr">
        <is>
          <t>Perfect Order</t>
        </is>
      </c>
      <c r="D26" s="6" t="inlineStr">
        <is>
          <t>Ultra Rare</t>
        </is>
      </c>
      <c r="E26" s="6" t="inlineStr">
        <is>
          <t>#119  Special illustration rare  $55.00</t>
        </is>
      </c>
      <c r="F26" s="6" t="inlineStr">
        <is>
          <t>#103  Ultra Rare  $6.49</t>
        </is>
      </c>
      <c r="G26" s="11" t="n">
        <v>-48.51</v>
      </c>
      <c r="H26" s="7">
        <f>HYPERLINK("https://youtu.be/mDDuc-YDvbw","watch")</f>
        <v/>
      </c>
      <c r="I26" s="6" t="inlineStr">
        <is>
          <t>Perfect Order Booster Pack #1 ⚡ | First Pack Magic?</t>
        </is>
      </c>
    </row>
    <row r="27">
      <c r="A27" s="10" t="n"/>
      <c r="B27" s="6" t="inlineStr">
        <is>
          <t>Bloodmoon Ursaluna ex</t>
        </is>
      </c>
      <c r="C27" s="6" t="inlineStr">
        <is>
          <t>Twilight Masquerade</t>
        </is>
      </c>
      <c r="D27" s="6" t="inlineStr">
        <is>
          <t>Double Rare</t>
        </is>
      </c>
      <c r="E27" s="6" t="inlineStr">
        <is>
          <t>#216  Special illustration rare  $47.00</t>
        </is>
      </c>
      <c r="F27" s="6" t="inlineStr">
        <is>
          <t>#141  Double rare  $1.67</t>
        </is>
      </c>
      <c r="G27" s="11" t="n">
        <v>-45.33</v>
      </c>
      <c r="H27" s="7">
        <f>HYPERLINK("https://youtu.be/ac3pK3zh0DE","watch")</f>
        <v/>
      </c>
      <c r="I27" s="6" t="inlineStr">
        <is>
          <t>Opening a Reshiram ex Box 😬 | Is This Worth It?</t>
        </is>
      </c>
    </row>
    <row r="28">
      <c r="A28" s="10" t="n"/>
      <c r="B28" s="6" t="inlineStr">
        <is>
          <t>N's Zoroark ex</t>
        </is>
      </c>
      <c r="C28" s="6" t="inlineStr">
        <is>
          <t>Journey Together</t>
        </is>
      </c>
      <c r="D28" s="6" t="inlineStr">
        <is>
          <t>Double Rare</t>
        </is>
      </c>
      <c r="E28" s="6" t="inlineStr">
        <is>
          <t>#185  Special illustration rare  $42.63</t>
        </is>
      </c>
      <c r="F28" s="6" t="inlineStr">
        <is>
          <t>#098  Double rare  $1.85</t>
        </is>
      </c>
      <c r="G28" s="11" t="n">
        <v>-40.78</v>
      </c>
      <c r="H28" s="7">
        <f>HYPERLINK("https://youtu.be/GLM2VLIWZGo","watch")</f>
        <v/>
      </c>
      <c r="I28" s="6" t="inlineStr">
        <is>
          <t>Mega Charizard Y EX Tin 🔥 | Did We Hit?!</t>
        </is>
      </c>
    </row>
    <row r="29">
      <c r="A29" s="10" t="n"/>
      <c r="B29" s="6" t="inlineStr">
        <is>
          <t>Mega Chandelure ex</t>
        </is>
      </c>
      <c r="C29" s="6" t="inlineStr">
        <is>
          <t>Pitch Black</t>
        </is>
      </c>
      <c r="D29" s="6" t="inlineStr">
        <is>
          <t>Double Rare</t>
        </is>
      </c>
      <c r="E29" s="6" t="inlineStr">
        <is>
          <t>#115  Special illustration rare  $41.44</t>
        </is>
      </c>
      <c r="F29" s="6" t="inlineStr">
        <is>
          <t>#038  Double rare  $1.48</t>
        </is>
      </c>
      <c r="G29" s="11" t="n">
        <v>-39.96</v>
      </c>
      <c r="H29" s="7">
        <f>HYPERLINK("https://youtu.be/q1WTwiauv3w","watch")</f>
        <v/>
      </c>
      <c r="I29" s="6" t="inlineStr">
        <is>
          <t>I Found First Pack Magic! ✨ Pitch Black ETB</t>
        </is>
      </c>
    </row>
    <row r="30">
      <c r="A30" s="10" t="n"/>
      <c r="B30" s="6" t="inlineStr">
        <is>
          <t>Mega Starmie ex</t>
        </is>
      </c>
      <c r="C30" s="6" t="inlineStr">
        <is>
          <t>Perfect Order</t>
        </is>
      </c>
      <c r="D30" s="6" t="inlineStr">
        <is>
          <t>Double Rare</t>
        </is>
      </c>
      <c r="E30" s="6" t="inlineStr">
        <is>
          <t>#118  Special illustration rare  $40.10</t>
        </is>
      </c>
      <c r="F30" s="6" t="inlineStr">
        <is>
          <t>#021  Double rare  $1.34</t>
        </is>
      </c>
      <c r="G30" s="11" t="n">
        <v>-38.76</v>
      </c>
      <c r="H30" s="7">
        <f>HYPERLINK("https://youtu.be/m41IeIUpqRI","watch")</f>
        <v/>
      </c>
      <c r="I30" s="6" t="inlineStr">
        <is>
          <t>This Mini Tin is GLOWING! ✨ Mega Starmie ex</t>
        </is>
      </c>
    </row>
    <row r="31">
      <c r="A31" s="10" t="n"/>
      <c r="B31" s="6" t="inlineStr">
        <is>
          <t>Mega Starmie ex</t>
        </is>
      </c>
      <c r="C31" s="6" t="inlineStr">
        <is>
          <t>Perfect Order</t>
        </is>
      </c>
      <c r="D31" s="6" t="inlineStr">
        <is>
          <t>Double Rare</t>
        </is>
      </c>
      <c r="E31" s="6" t="inlineStr">
        <is>
          <t>#118  Special illustration rare  $40.10</t>
        </is>
      </c>
      <c r="F31" s="6" t="inlineStr">
        <is>
          <t>#021  Double rare  $1.34</t>
        </is>
      </c>
      <c r="G31" s="11" t="n">
        <v>-38.76</v>
      </c>
      <c r="H31" s="7">
        <f>HYPERLINK("https://youtu.be/tTxItGrPfUw","watch")</f>
        <v/>
      </c>
      <c r="I31" s="6" t="inlineStr">
        <is>
          <t>Only Garbage Rips? 😬 | Perfect Order Pack #5</t>
        </is>
      </c>
    </row>
    <row r="32">
      <c r="A32" s="10" t="n"/>
      <c r="B32" s="6" t="inlineStr">
        <is>
          <t>Mega Starmie ex</t>
        </is>
      </c>
      <c r="C32" s="6" t="inlineStr">
        <is>
          <t>Perfect Order</t>
        </is>
      </c>
      <c r="D32" s="6" t="inlineStr">
        <is>
          <t>Double Rare</t>
        </is>
      </c>
      <c r="E32" s="6" t="inlineStr">
        <is>
          <t>#118  Special illustration rare  $40.10</t>
        </is>
      </c>
      <c r="F32" s="6" t="inlineStr">
        <is>
          <t>#021  Double rare  $1.34</t>
        </is>
      </c>
      <c r="G32" s="11" t="n">
        <v>-38.76</v>
      </c>
      <c r="H32" s="7">
        <f>HYPERLINK("https://youtu.be/7PBrXPgt9kU","watch")</f>
        <v/>
      </c>
      <c r="I32" s="6" t="inlineStr">
        <is>
          <t>FINAL Perfect Order Booster Bundle Pack ⚡ | Last Pack Magic?! 😬</t>
        </is>
      </c>
    </row>
    <row r="33">
      <c r="A33" s="10" t="n"/>
      <c r="B33" s="6" t="inlineStr">
        <is>
          <t>Mega Dragalge ex</t>
        </is>
      </c>
      <c r="C33" s="6" t="inlineStr">
        <is>
          <t>Chaos Rising</t>
        </is>
      </c>
      <c r="D33" s="6" t="inlineStr">
        <is>
          <t>Double Rare</t>
        </is>
      </c>
      <c r="E33" s="6" t="inlineStr">
        <is>
          <t>#118  Special illustration rare  $38.77</t>
        </is>
      </c>
      <c r="F33" s="6" t="inlineStr">
        <is>
          <t>#065  Double rare  $0.99</t>
        </is>
      </c>
      <c r="G33" s="11" t="n">
        <v>-37.78</v>
      </c>
      <c r="H33" s="7">
        <f>HYPERLINK("https://youtu.be/EifpW6bQhPE","watch")</f>
        <v/>
      </c>
      <c r="I33" s="6" t="inlineStr">
        <is>
          <t>Chaos Rising Pack #9 😳 | Can This Single Pack Hit?!</t>
        </is>
      </c>
    </row>
    <row r="34">
      <c r="A34" s="10" t="n"/>
      <c r="B34" s="6" t="inlineStr">
        <is>
          <t>Mega Eelektross ex</t>
        </is>
      </c>
      <c r="C34" s="6" t="inlineStr">
        <is>
          <t>Ascended Heroes</t>
        </is>
      </c>
      <c r="D34" s="6" t="inlineStr">
        <is>
          <t>Double Rare</t>
        </is>
      </c>
      <c r="E34" s="6" t="inlineStr">
        <is>
          <t>#278  Special illustration rare  $38.69</t>
        </is>
      </c>
      <c r="F34" s="6" t="inlineStr">
        <is>
          <t>#061  Double rare  $1.79</t>
        </is>
      </c>
      <c r="G34" s="11" t="n">
        <v>-36.9</v>
      </c>
      <c r="H34" s="7">
        <f>HYPERLINK("https://youtu.be/jAkffPVM-JA","watch")</f>
        <v/>
      </c>
      <c r="I34" s="6" t="inlineStr">
        <is>
          <t>Ascended Heroes Booster Bundle #2 ⚡ | Pack #4 (We NEED A Hit 😬)</t>
        </is>
      </c>
    </row>
    <row r="35">
      <c r="A35" s="10" t="n"/>
      <c r="B35" s="6" t="inlineStr">
        <is>
          <t>Mega Greninja ex</t>
        </is>
      </c>
      <c r="C35" s="6" t="inlineStr">
        <is>
          <t>Chaos Rising</t>
        </is>
      </c>
      <c r="D35" s="6" t="inlineStr">
        <is>
          <t>Mega Hyper Rare</t>
        </is>
      </c>
      <c r="E35" s="6" t="inlineStr">
        <is>
          <t>#116  Special illustration rare  $208.26</t>
        </is>
      </c>
      <c r="F35" s="6" t="inlineStr">
        <is>
          <t>#122  Mega Hyper Rare  $172.79</t>
        </is>
      </c>
      <c r="G35" s="11" t="n">
        <v>-35.47</v>
      </c>
      <c r="H35" s="7">
        <f>HYPERLINK("https://youtu.be/iIgTusrqVtg","watch")</f>
        <v/>
      </c>
      <c r="I35" s="6" t="inlineStr">
        <is>
          <t>I Just Pulled a $1,000 Card! 😱🐸</t>
        </is>
      </c>
    </row>
    <row r="36">
      <c r="A36" s="10" t="n"/>
      <c r="B36" s="6" t="inlineStr">
        <is>
          <t>Mega Starmie ex</t>
        </is>
      </c>
      <c r="C36" s="6" t="inlineStr">
        <is>
          <t>Perfect Order</t>
        </is>
      </c>
      <c r="D36" s="6" t="inlineStr">
        <is>
          <t>Ultra Rare</t>
        </is>
      </c>
      <c r="E36" s="6" t="inlineStr">
        <is>
          <t>#118  Special illustration rare  $40.10</t>
        </is>
      </c>
      <c r="F36" s="6" t="inlineStr">
        <is>
          <t>#102  Ultra Rare  $5.77</t>
        </is>
      </c>
      <c r="G36" s="11" t="n">
        <v>-34.33</v>
      </c>
      <c r="H36" s="7">
        <f>HYPERLINK("https://youtu.be/igNbRZX5e_0","watch")</f>
        <v/>
      </c>
      <c r="I36" s="6" t="inlineStr">
        <is>
          <t>Perfect Order 3-Pack Blister 🌱 | Chikorita Promo</t>
        </is>
      </c>
    </row>
    <row r="37">
      <c r="A37" s="10" t="n"/>
      <c r="B37" s="6" t="inlineStr">
        <is>
          <t>Iono's Bellibolt ex</t>
        </is>
      </c>
      <c r="C37" s="6" t="inlineStr">
        <is>
          <t>Journey Together</t>
        </is>
      </c>
      <c r="D37" s="6" t="inlineStr">
        <is>
          <t>Double Rare</t>
        </is>
      </c>
      <c r="E37" s="6" t="inlineStr">
        <is>
          <t>#183  Special illustration rare  $34.64</t>
        </is>
      </c>
      <c r="F37" s="6" t="inlineStr">
        <is>
          <t>#053  Double rare  $1.39</t>
        </is>
      </c>
      <c r="G37" s="11" t="n">
        <v>-33.25</v>
      </c>
      <c r="H37" s="7">
        <f>HYPERLINK("https://youtu.be/VP1UXW3MrGU","watch")</f>
        <v/>
      </c>
      <c r="I37" s="6" t="inlineStr">
        <is>
          <t>Journey Together Booster Bundle ⚡ | Pack #4 🫣</t>
        </is>
      </c>
    </row>
    <row r="38">
      <c r="A38" s="10" t="n"/>
      <c r="B38" s="6" t="inlineStr">
        <is>
          <t>Mega Floette ex</t>
        </is>
      </c>
      <c r="C38" s="6" t="inlineStr">
        <is>
          <t>Chaos Rising</t>
        </is>
      </c>
      <c r="D38" s="6" t="inlineStr">
        <is>
          <t>Double Rare</t>
        </is>
      </c>
      <c r="E38" s="6" t="inlineStr">
        <is>
          <t>#117  Special illustration rare  $32.36</t>
        </is>
      </c>
      <c r="F38" s="6" t="inlineStr">
        <is>
          <t>#035  Double rare  $1.78</t>
        </is>
      </c>
      <c r="G38" s="11" t="n">
        <v>-30.58</v>
      </c>
      <c r="H38" s="7">
        <f>HYPERLINK("https://youtu.be/019sIQP5PwA","watch")</f>
        <v/>
      </c>
      <c r="I38" s="6" t="inlineStr">
        <is>
          <t>THE STREAK IS BROKEN! 😱 Mega Floette ex</t>
        </is>
      </c>
    </row>
    <row r="39">
      <c r="A39" s="10" t="n"/>
      <c r="B39" s="6" t="inlineStr">
        <is>
          <t>Mega Floette ex</t>
        </is>
      </c>
      <c r="C39" s="6" t="inlineStr">
        <is>
          <t>Chaos Rising</t>
        </is>
      </c>
      <c r="D39" s="6" t="inlineStr">
        <is>
          <t>Double Rare</t>
        </is>
      </c>
      <c r="E39" s="6" t="inlineStr">
        <is>
          <t>#117  Special illustration rare  $32.36</t>
        </is>
      </c>
      <c r="F39" s="6" t="inlineStr">
        <is>
          <t>#035  Double rare  $1.78</t>
        </is>
      </c>
      <c r="G39" s="11" t="n">
        <v>-30.58</v>
      </c>
      <c r="H39" s="7">
        <f>HYPERLINK("https://youtu.be/16GEn7wSyuk","watch")</f>
        <v/>
      </c>
      <c r="I39" s="6" t="inlineStr">
        <is>
          <t>Chaos Rising Booster Bundle ⚡🔥 | Pack #5 (We NEED A Hit 😬)</t>
        </is>
      </c>
    </row>
    <row r="40">
      <c r="A40" s="10" t="n"/>
      <c r="B40" s="6" t="inlineStr">
        <is>
          <t>Acerola's Mischief</t>
        </is>
      </c>
      <c r="C40" s="6" t="inlineStr">
        <is>
          <t>Mega Evolution</t>
        </is>
      </c>
      <c r="D40" s="6" t="inlineStr">
        <is>
          <t>Ultra Rare</t>
        </is>
      </c>
      <c r="E40" s="6" t="inlineStr">
        <is>
          <t>#183  Special illustration rare  $32.20</t>
        </is>
      </c>
      <c r="F40" s="6" t="inlineStr">
        <is>
          <t>#165  Ultra Rare  $2.37</t>
        </is>
      </c>
      <c r="G40" s="11" t="n">
        <v>-29.83</v>
      </c>
      <c r="H40" s="7">
        <f>HYPERLINK("https://youtu.be/dQaN_4yqS0w","watch")</f>
        <v/>
      </c>
      <c r="I40" s="6" t="inlineStr">
        <is>
          <t>Only Garbage Rips? 😬 | Mega Evolutions Pack #2</t>
        </is>
      </c>
    </row>
    <row r="41">
      <c r="A41" s="10" t="n"/>
      <c r="B41" s="6" t="inlineStr">
        <is>
          <t>Mega Floette ex</t>
        </is>
      </c>
      <c r="C41" s="6" t="inlineStr">
        <is>
          <t>Chaos Rising</t>
        </is>
      </c>
      <c r="D41" s="6" t="inlineStr">
        <is>
          <t>Ultra Rare</t>
        </is>
      </c>
      <c r="E41" s="6" t="inlineStr">
        <is>
          <t>#117  Special illustration rare  $32.36</t>
        </is>
      </c>
      <c r="F41" s="6" t="inlineStr">
        <is>
          <t>#101  Ultra Rare  $3.99</t>
        </is>
      </c>
      <c r="G41" s="11" t="n">
        <v>-28.37</v>
      </c>
      <c r="H41" s="7">
        <f>HYPERLINK("https://youtu.be/msETNgFSWD0","watch")</f>
        <v/>
      </c>
      <c r="I41" s="6" t="inlineStr">
        <is>
          <t>FINALLY! A Hit in Chaos Rising ETB #2 ⚡🔥</t>
        </is>
      </c>
    </row>
    <row r="42">
      <c r="A42" s="10" t="n"/>
      <c r="B42" s="6" t="inlineStr">
        <is>
          <t>Golisopod ex</t>
        </is>
      </c>
      <c r="C42" s="6" t="inlineStr">
        <is>
          <t>Paradox Rift</t>
        </is>
      </c>
      <c r="D42" s="6" t="inlineStr">
        <is>
          <t>Double Rare</t>
        </is>
      </c>
      <c r="E42" s="6" t="inlineStr">
        <is>
          <t>#246  Special illustration rare  $26.57</t>
        </is>
      </c>
      <c r="F42" s="6" t="inlineStr">
        <is>
          <t>#050  Double rare  $0.71</t>
        </is>
      </c>
      <c r="G42" s="11" t="n">
        <v>-25.86</v>
      </c>
      <c r="H42" s="7">
        <f>HYPERLINK("https://youtu.be/g9RQqx9da6Q","watch")</f>
        <v/>
      </c>
      <c r="I42" s="6" t="inlineStr">
        <is>
          <t>Only Garbage Rips? 😬 | Mabosstiff Box Opening 🐶</t>
        </is>
      </c>
    </row>
    <row r="43">
      <c r="A43" s="10" t="n"/>
      <c r="B43" s="6" t="inlineStr">
        <is>
          <t>Excadrill ex</t>
        </is>
      </c>
      <c r="C43" s="6" t="inlineStr">
        <is>
          <t>Black Bolt</t>
        </is>
      </c>
      <c r="D43" s="6" t="inlineStr">
        <is>
          <t>Double Rare</t>
        </is>
      </c>
      <c r="E43" s="6" t="inlineStr">
        <is>
          <t>#168  Special illustration rare  $22.69</t>
        </is>
      </c>
      <c r="F43" s="6" t="inlineStr">
        <is>
          <t>#046  Double rare  $1.12</t>
        </is>
      </c>
      <c r="G43" s="11" t="n">
        <v>-21.57</v>
      </c>
      <c r="H43" s="7">
        <f>HYPERLINK("https://youtu.be/XjFoToaom6k","watch")</f>
        <v/>
      </c>
      <c r="I43" s="6" t="inlineStr">
        <is>
          <t>Pokémon Victini Illustration Collection 🔥 Only Garbage Rips? 😬</t>
        </is>
      </c>
    </row>
    <row r="44">
      <c r="A44" s="10" t="n"/>
      <c r="B44" s="6" t="inlineStr">
        <is>
          <t>Excadrill ex</t>
        </is>
      </c>
      <c r="C44" s="6" t="inlineStr">
        <is>
          <t>Black Bolt</t>
        </is>
      </c>
      <c r="D44" s="6" t="inlineStr">
        <is>
          <t>Ultra Rare</t>
        </is>
      </c>
      <c r="E44" s="6" t="inlineStr">
        <is>
          <t>#168  Special illustration rare  $22.69</t>
        </is>
      </c>
      <c r="F44" s="6" t="inlineStr">
        <is>
          <t>#160  Ultra Rare  $1.33</t>
        </is>
      </c>
      <c r="G44" s="11" t="n">
        <v>-21.36</v>
      </c>
      <c r="H44" s="7">
        <f>HYPERLINK("https://youtu.be/J0Gy0iIz3ok","watch")</f>
        <v/>
      </c>
      <c r="I44" s="6" t="inlineStr">
        <is>
          <t>Pokémon Unova Mini Tin #2 ⚡ | Any Better?</t>
        </is>
      </c>
    </row>
    <row r="45">
      <c r="A45" s="10" t="n"/>
      <c r="B45" s="6" t="inlineStr">
        <is>
          <t>Volcanion ex</t>
        </is>
      </c>
      <c r="C45" s="6" t="inlineStr">
        <is>
          <t>Journey Together</t>
        </is>
      </c>
      <c r="D45" s="6" t="inlineStr">
        <is>
          <t>Double Rare</t>
        </is>
      </c>
      <c r="E45" s="6" t="inlineStr">
        <is>
          <t>#182  Special illustration rare  $19.95</t>
        </is>
      </c>
      <c r="F45" s="6" t="inlineStr">
        <is>
          <t>#031  Double rare  $1.00</t>
        </is>
      </c>
      <c r="G45" s="11" t="n">
        <v>-18.95</v>
      </c>
      <c r="H45" s="7">
        <f>HYPERLINK("https://youtu.be/hLr5iThoO2k","watch")</f>
        <v/>
      </c>
      <c r="I45" s="6" t="inlineStr">
        <is>
          <t>Only Garbage Rips 😬 | Journey Together Scrafty Blister</t>
        </is>
      </c>
    </row>
    <row r="46">
      <c r="A46" s="10" t="n"/>
      <c r="B46" s="6" t="inlineStr">
        <is>
          <t>Teal Mask Ogerpon ex</t>
        </is>
      </c>
      <c r="C46" s="6" t="inlineStr">
        <is>
          <t>Prismatic Evolutions</t>
        </is>
      </c>
      <c r="D46" s="6" t="inlineStr">
        <is>
          <t>Double Rare</t>
        </is>
      </c>
      <c r="E46" s="6" t="inlineStr">
        <is>
          <t>#145  Special illustration rare  $19.99</t>
        </is>
      </c>
      <c r="F46" s="6" t="inlineStr">
        <is>
          <t>#012  Double rare  $3.00</t>
        </is>
      </c>
      <c r="G46" s="11" t="n">
        <v>-16.99</v>
      </c>
      <c r="H46" s="7">
        <f>HYPERLINK("https://youtu.be/8SX0B-7WM8A","watch")</f>
        <v/>
      </c>
      <c r="I46" s="6" t="inlineStr">
        <is>
          <t>Prismatic Evolutions Poster Collection 💖 | Eeveelutions!?</t>
        </is>
      </c>
    </row>
    <row r="47">
      <c r="A47" s="10" t="n"/>
      <c r="B47" s="6" t="inlineStr">
        <is>
          <t>Mega Lopunny ex</t>
        </is>
      </c>
      <c r="C47" s="6" t="inlineStr">
        <is>
          <t>Phantasmal Flames</t>
        </is>
      </c>
      <c r="D47" s="6" t="inlineStr">
        <is>
          <t>Double Rare</t>
        </is>
      </c>
      <c r="E47" s="6" t="inlineStr">
        <is>
          <t>#128  Special illustration rare  $17.50</t>
        </is>
      </c>
      <c r="F47" s="6" t="inlineStr">
        <is>
          <t>#084  Double rare  $1.46</t>
        </is>
      </c>
      <c r="G47" s="11" t="n">
        <v>-16.04</v>
      </c>
      <c r="H47" s="7">
        <f>HYPERLINK("https://youtu.be/AXOYuKfoBXU","watch")</f>
        <v/>
      </c>
      <c r="I47" s="6" t="inlineStr">
        <is>
          <t>Only Garbage Rips 😬 | Phantasmal Flames Blister Packs</t>
        </is>
      </c>
    </row>
    <row r="48">
      <c r="A48" s="10" t="n"/>
      <c r="B48" s="6" t="inlineStr">
        <is>
          <t>Mega Lopunny ex</t>
        </is>
      </c>
      <c r="C48" s="6" t="inlineStr">
        <is>
          <t>Phantasmal Flames</t>
        </is>
      </c>
      <c r="D48" s="6" t="inlineStr">
        <is>
          <t>Double Rare</t>
        </is>
      </c>
      <c r="E48" s="6" t="inlineStr">
        <is>
          <t>#128  Special illustration rare  $17.50</t>
        </is>
      </c>
      <c r="F48" s="6" t="inlineStr">
        <is>
          <t>#084  Double rare  $1.46</t>
        </is>
      </c>
      <c r="G48" s="11" t="n">
        <v>-16.04</v>
      </c>
      <c r="H48" s="7">
        <f>HYPERLINK("https://youtu.be/GLM2VLIWZGo","watch")</f>
        <v/>
      </c>
      <c r="I48" s="6" t="inlineStr">
        <is>
          <t>Mega Charizard Y EX Tin 🔥 | Did We Hit?!</t>
        </is>
      </c>
    </row>
    <row r="49">
      <c r="A49" s="10" t="n"/>
      <c r="B49" s="6" t="inlineStr">
        <is>
          <t>Dawn</t>
        </is>
      </c>
      <c r="C49" s="6" t="inlineStr">
        <is>
          <t>Phantasmal Flames</t>
        </is>
      </c>
      <c r="D49" s="6" t="inlineStr">
        <is>
          <t>Ultra Rare</t>
        </is>
      </c>
      <c r="E49" s="6" t="inlineStr">
        <is>
          <t>#129  Special illustration rare  $22.00</t>
        </is>
      </c>
      <c r="F49" s="6" t="inlineStr">
        <is>
          <t>#118  Ultra Rare  $6.25</t>
        </is>
      </c>
      <c r="G49" s="11" t="n">
        <v>-15.75</v>
      </c>
      <c r="H49" s="7">
        <f>HYPERLINK("https://youtu.be/kj7532tb0_I","watch")</f>
        <v/>
      </c>
      <c r="I49" s="6" t="inlineStr">
        <is>
          <t>Only Garbage Rips from the Latest Costco Charizard UPC Drop</t>
        </is>
      </c>
    </row>
    <row r="50">
      <c r="A50" s="10" t="n"/>
      <c r="B50" s="6" t="inlineStr">
        <is>
          <t>Dawn</t>
        </is>
      </c>
      <c r="C50" s="6" t="inlineStr">
        <is>
          <t>Phantasmal Flames</t>
        </is>
      </c>
      <c r="D50" s="6" t="inlineStr">
        <is>
          <t>Ultra Rare</t>
        </is>
      </c>
      <c r="E50" s="6" t="inlineStr">
        <is>
          <t>#129  Special illustration rare  $22.00</t>
        </is>
      </c>
      <c r="F50" s="6" t="inlineStr">
        <is>
          <t>#118  Ultra Rare  $6.25</t>
        </is>
      </c>
      <c r="G50" s="11" t="n">
        <v>-15.75</v>
      </c>
      <c r="H50" s="7">
        <f>HYPERLINK("https://youtu.be/3pUiN-8XkEk","watch")</f>
        <v/>
      </c>
      <c r="I50" s="6" t="inlineStr">
        <is>
          <t>DID WE GET THE ZARD?! 🐉🔥 (Final Pack)</t>
        </is>
      </c>
    </row>
    <row r="51">
      <c r="A51" s="10" t="n"/>
      <c r="B51" s="6" t="inlineStr">
        <is>
          <t>Rotom ex</t>
        </is>
      </c>
      <c r="C51" s="6" t="inlineStr">
        <is>
          <t>Phantasmal Flames</t>
        </is>
      </c>
      <c r="D51" s="6" t="inlineStr">
        <is>
          <t>Double Rare</t>
        </is>
      </c>
      <c r="E51" s="6" t="inlineStr">
        <is>
          <t>#126  Special illustration rare  $16.25</t>
        </is>
      </c>
      <c r="F51" s="6" t="inlineStr">
        <is>
          <t>#029  Double rare  $1.00</t>
        </is>
      </c>
      <c r="G51" s="11" t="n">
        <v>-15.25</v>
      </c>
      <c r="H51" s="7">
        <f>HYPERLINK("https://youtu.be/cmV6P3ssh2g","watch")</f>
        <v/>
      </c>
      <c r="I51" s="6" t="inlineStr">
        <is>
          <t>Only Garbage Rips 😬 | Raikou 2-Pack Blister</t>
        </is>
      </c>
    </row>
    <row r="52">
      <c r="A52" s="10" t="n"/>
      <c r="B52" s="6" t="inlineStr">
        <is>
          <t>Mega Lopunny ex</t>
        </is>
      </c>
      <c r="C52" s="6" t="inlineStr">
        <is>
          <t>Phantasmal Flames</t>
        </is>
      </c>
      <c r="D52" s="6" t="inlineStr">
        <is>
          <t>Ultra Rare</t>
        </is>
      </c>
      <c r="E52" s="6" t="inlineStr">
        <is>
          <t>#128  Special illustration rare  $17.50</t>
        </is>
      </c>
      <c r="F52" s="6" t="inlineStr">
        <is>
          <t>#115  Ultra Rare  $2.51</t>
        </is>
      </c>
      <c r="G52" s="11" t="n">
        <v>-14.99</v>
      </c>
      <c r="H52" s="7">
        <f>HYPERLINK("https://youtu.be/KEK0q0PgN_I","watch")</f>
        <v/>
      </c>
      <c r="I52" s="6" t="inlineStr">
        <is>
          <t>Only Garbage Rips? 😬 | Phantasmal Flames Pack #8</t>
        </is>
      </c>
    </row>
    <row r="53">
      <c r="A53" s="10" t="n"/>
      <c r="B53" s="6" t="inlineStr">
        <is>
          <t>Cornerstone Mask Ogerpon ex</t>
        </is>
      </c>
      <c r="C53" s="6" t="inlineStr">
        <is>
          <t>Prismatic Evolutions</t>
        </is>
      </c>
      <c r="D53" s="6" t="inlineStr">
        <is>
          <t>Double Rare</t>
        </is>
      </c>
      <c r="E53" s="6" t="inlineStr">
        <is>
          <t>#160  Special illustration rare  $14.90</t>
        </is>
      </c>
      <c r="F53" s="6" t="inlineStr">
        <is>
          <t>#058  Double rare  $1.00</t>
        </is>
      </c>
      <c r="G53" s="11" t="n">
        <v>-13.9</v>
      </c>
      <c r="H53" s="7">
        <f>HYPERLINK("https://youtu.be/LFpa9K2DA6Q","watch")</f>
        <v/>
      </c>
      <c r="I53" s="6" t="inlineStr">
        <is>
          <t>Only Garbage Rips? 😬 | Prismatic ETB Pack #2</t>
        </is>
      </c>
    </row>
    <row r="54">
      <c r="A54" s="10" t="n"/>
      <c r="B54" s="6" t="inlineStr">
        <is>
          <t>Mega Excadrill ex</t>
        </is>
      </c>
      <c r="C54" s="6" t="inlineStr">
        <is>
          <t>Pitch Black</t>
        </is>
      </c>
      <c r="D54" s="6" t="inlineStr">
        <is>
          <t>Double Rare</t>
        </is>
      </c>
      <c r="E54" s="6" t="inlineStr">
        <is>
          <t>#103  Ultra Rare  $8.12</t>
        </is>
      </c>
      <c r="F54" s="6" t="inlineStr">
        <is>
          <t>#065  Double rare  $1.99</t>
        </is>
      </c>
      <c r="G54" s="11" t="n">
        <v>-6.13</v>
      </c>
      <c r="H54" s="7">
        <f>HYPERLINK("https://youtu.be/EtFK6nFW6IQ","watch")</f>
        <v/>
      </c>
      <c r="I54" s="6" t="inlineStr">
        <is>
          <t>I Can't Stop Hitting! ✨ Pitch Black Booster Bundle</t>
        </is>
      </c>
    </row>
    <row r="55">
      <c r="A55" s="10" t="n"/>
      <c r="B55" s="6" t="inlineStr">
        <is>
          <t>Mega Skarmory ex</t>
        </is>
      </c>
      <c r="C55" s="6" t="inlineStr">
        <is>
          <t>Perfect Order</t>
        </is>
      </c>
      <c r="D55" s="6" t="inlineStr">
        <is>
          <t>Double Rare</t>
        </is>
      </c>
      <c r="E55" s="6" t="inlineStr">
        <is>
          <t>#106  Ultra Rare  $5.06</t>
        </is>
      </c>
      <c r="F55" s="6" t="inlineStr">
        <is>
          <t>#055  Double rare  $1.67</t>
        </is>
      </c>
      <c r="G55" s="11" t="n">
        <v>-3.39</v>
      </c>
      <c r="H55" s="7">
        <f>HYPERLINK("https://youtu.be/_3gRDHTv1lQ","watch")</f>
        <v/>
      </c>
      <c r="I55" s="6" t="inlineStr">
        <is>
          <t>Mega Zygarde ex Premium Collection ⚡🔥 | Pack #5 (We NEED A Hit 😬)</t>
        </is>
      </c>
    </row>
    <row r="56">
      <c r="A56" s="10" t="n"/>
      <c r="B56" s="6" t="inlineStr">
        <is>
          <t>Mega Pyroar ex</t>
        </is>
      </c>
      <c r="C56" s="6" t="inlineStr">
        <is>
          <t>Chaos Rising</t>
        </is>
      </c>
      <c r="D56" s="6" t="inlineStr">
        <is>
          <t>Double Rare</t>
        </is>
      </c>
      <c r="E56" s="6" t="inlineStr">
        <is>
          <t>#099  Ultra Rare  $3.51</t>
        </is>
      </c>
      <c r="F56" s="6" t="inlineStr">
        <is>
          <t>#015  Double rare  $1.00</t>
        </is>
      </c>
      <c r="G56" s="11" t="n">
        <v>-2.51</v>
      </c>
      <c r="H56" s="7">
        <f>HYPERLINK("https://youtu.be/BiBdyozoD_Q","watch")</f>
        <v/>
      </c>
      <c r="I56" s="6" t="inlineStr">
        <is>
          <t>Chaos Rising Booster Bundle #2 ⚡🔥 | Pack #1 (First Pack Magic?!)</t>
        </is>
      </c>
    </row>
    <row r="57">
      <c r="A57" s="10" t="n"/>
      <c r="B57" s="6" t="inlineStr">
        <is>
          <t>Mega Pyroar ex</t>
        </is>
      </c>
      <c r="C57" s="6" t="inlineStr">
        <is>
          <t>Chaos Rising</t>
        </is>
      </c>
      <c r="D57" s="6" t="inlineStr">
        <is>
          <t>Double Rare</t>
        </is>
      </c>
      <c r="E57" s="6" t="inlineStr">
        <is>
          <t>#099  Ultra Rare  $3.51</t>
        </is>
      </c>
      <c r="F57" s="6" t="inlineStr">
        <is>
          <t>#015  Double rare  $1.00</t>
        </is>
      </c>
      <c r="G57" s="11" t="n">
        <v>-2.51</v>
      </c>
      <c r="H57" s="7">
        <f>HYPERLINK("https://youtu.be/JM8wHAH8FEw","watch")</f>
        <v/>
      </c>
      <c r="I57" s="6" t="inlineStr">
        <is>
          <t>Chaos Rising Pack #2 ⚡🔥 | BACK TO BACK Hits?! 😳</t>
        </is>
      </c>
    </row>
    <row r="58">
      <c r="A58" s="10" t="n"/>
      <c r="B58" s="6" t="inlineStr">
        <is>
          <t>Rampardos ex</t>
        </is>
      </c>
      <c r="C58" s="6" t="inlineStr">
        <is>
          <t>Pitch Black</t>
        </is>
      </c>
      <c r="D58" s="6" t="inlineStr">
        <is>
          <t>Double Rare</t>
        </is>
      </c>
      <c r="E58" s="6" t="inlineStr">
        <is>
          <t>#100  Ultra Rare  $3.98</t>
        </is>
      </c>
      <c r="F58" s="6" t="inlineStr">
        <is>
          <t>#045  Double rare  $1.50</t>
        </is>
      </c>
      <c r="G58" s="11" t="n">
        <v>-2.48</v>
      </c>
      <c r="H58" s="7">
        <f>HYPERLINK("https://youtu.be/oSPbl9reyIM","watch")</f>
        <v/>
      </c>
      <c r="I58" s="6" t="inlineStr">
        <is>
          <t>The most DISAPPOINTING "Hit" 💀 Pitch Black</t>
        </is>
      </c>
    </row>
    <row r="59">
      <c r="A59" s="10" t="n"/>
      <c r="B59" s="6" t="inlineStr">
        <is>
          <t>Beedrill ex</t>
        </is>
      </c>
      <c r="C59" s="6" t="inlineStr">
        <is>
          <t>Chaos Rising</t>
        </is>
      </c>
      <c r="D59" s="6" t="inlineStr">
        <is>
          <t>Double Rare</t>
        </is>
      </c>
      <c r="E59" s="6" t="inlineStr">
        <is>
          <t>#098  Ultra Rare  $4.02</t>
        </is>
      </c>
      <c r="F59" s="6" t="inlineStr">
        <is>
          <t>#003  Double rare  $1.59</t>
        </is>
      </c>
      <c r="G59" s="11" t="n">
        <v>-2.43</v>
      </c>
      <c r="H59" s="7">
        <f>HYPERLINK("https://youtu.be/x3gI4dEKNMs","watch")</f>
        <v/>
      </c>
      <c r="I59" s="6" t="inlineStr">
        <is>
          <t>Only Garbage Rips? 😬 | Chaos Rising ETB #2 Pack #6</t>
        </is>
      </c>
    </row>
    <row r="60">
      <c r="A60" s="10" t="n"/>
      <c r="B60" s="6" t="inlineStr">
        <is>
          <t>Beedrill ex</t>
        </is>
      </c>
      <c r="C60" s="6" t="inlineStr">
        <is>
          <t>Chaos Rising</t>
        </is>
      </c>
      <c r="D60" s="6" t="inlineStr">
        <is>
          <t>Double Rare</t>
        </is>
      </c>
      <c r="E60" s="6" t="inlineStr">
        <is>
          <t>#098  Ultra Rare  $4.02</t>
        </is>
      </c>
      <c r="F60" s="6" t="inlineStr">
        <is>
          <t>#003  Double rare  $1.59</t>
        </is>
      </c>
      <c r="G60" s="11" t="n">
        <v>-2.43</v>
      </c>
      <c r="H60" s="7">
        <f>HYPERLINK("https://youtu.be/c-5u5X8BT_Y","watch")</f>
        <v/>
      </c>
      <c r="I60" s="6" t="inlineStr">
        <is>
          <t>Only Garbage Rips? 😬 | Chaos Rising Bundle Pack #3</t>
        </is>
      </c>
    </row>
    <row r="61">
      <c r="A61" s="10" t="n"/>
      <c r="B61" s="6" t="inlineStr">
        <is>
          <t>Tsareena ex</t>
        </is>
      </c>
      <c r="C61" s="6" t="inlineStr">
        <is>
          <t>Paradox Rift</t>
        </is>
      </c>
      <c r="D61" s="6" t="inlineStr">
        <is>
          <t>Double Rare</t>
        </is>
      </c>
      <c r="E61" s="6" t="inlineStr">
        <is>
          <t>#220  Ultra Rare  $2.98</t>
        </is>
      </c>
      <c r="F61" s="6" t="inlineStr">
        <is>
          <t>#046  Double rare  $0.71</t>
        </is>
      </c>
      <c r="G61" s="11" t="n">
        <v>-2.27</v>
      </c>
      <c r="H61" s="7">
        <f>HYPERLINK("https://youtu.be/EOFAhFwJKqw","watch")</f>
        <v/>
      </c>
      <c r="I61" s="6" t="inlineStr">
        <is>
          <t>Only Garbage Rips 😬 | Paradox Rift Blister Packs</t>
        </is>
      </c>
    </row>
    <row r="62">
      <c r="A62" s="10" t="n"/>
      <c r="B62" s="6" t="inlineStr">
        <is>
          <t>Cobalion ex</t>
        </is>
      </c>
      <c r="C62" s="6" t="inlineStr">
        <is>
          <t>Chaos Rising</t>
        </is>
      </c>
      <c r="D62" s="6" t="inlineStr">
        <is>
          <t>Double Rare</t>
        </is>
      </c>
      <c r="E62" s="6" t="inlineStr">
        <is>
          <t>#103  Ultra Rare  $2.50</t>
        </is>
      </c>
      <c r="F62" s="6" t="inlineStr">
        <is>
          <t>#064  Double rare  $1.01</t>
        </is>
      </c>
      <c r="G62" s="11" t="n">
        <v>-1.49</v>
      </c>
      <c r="H62" s="7">
        <f>HYPERLINK("https://youtu.be/4gBo585VhEI","watch")</f>
        <v/>
      </c>
      <c r="I62" s="6" t="inlineStr">
        <is>
          <t>Chaos Rising ETB ⚡🔥 | Pack #4 (Heating Up?!) 😳</t>
        </is>
      </c>
    </row>
    <row r="63">
      <c r="A63" s="10" t="n"/>
      <c r="B63" s="6" t="inlineStr">
        <is>
          <t>Cobalion ex</t>
        </is>
      </c>
      <c r="C63" s="6" t="inlineStr">
        <is>
          <t>Chaos Rising</t>
        </is>
      </c>
      <c r="D63" s="6" t="inlineStr">
        <is>
          <t>Double Rare</t>
        </is>
      </c>
      <c r="E63" s="6" t="inlineStr">
        <is>
          <t>#103  Ultra Rare  $2.50</t>
        </is>
      </c>
      <c r="F63" s="6" t="inlineStr">
        <is>
          <t>#064  Double rare  $1.01</t>
        </is>
      </c>
      <c r="G63" s="11" t="n">
        <v>-1.49</v>
      </c>
      <c r="H63" s="7">
        <f>HYPERLINK("https://youtu.be/HS0sPhhG3jo","watch")</f>
        <v/>
      </c>
      <c r="I63" s="6" t="inlineStr">
        <is>
          <t>Only Garbage Rips? 😬 | Chaos Rising Pack #6</t>
        </is>
      </c>
    </row>
    <row r="64">
      <c r="A64" s="10" t="n"/>
      <c r="B64" s="6" t="inlineStr">
        <is>
          <t>Decidueye ex</t>
        </is>
      </c>
      <c r="C64" s="6" t="inlineStr">
        <is>
          <t>Perfect Order</t>
        </is>
      </c>
      <c r="D64" s="6" t="inlineStr">
        <is>
          <t>Double Rare</t>
        </is>
      </c>
      <c r="E64" s="6" t="inlineStr">
        <is>
          <t>#100  Ultra Rare  $2.45</t>
        </is>
      </c>
      <c r="F64" s="6" t="inlineStr">
        <is>
          <t>#012  Double rare  $1.00</t>
        </is>
      </c>
      <c r="G64" s="11" t="n">
        <v>-1.45</v>
      </c>
      <c r="H64" s="7">
        <f>HYPERLINK("https://youtu.be/wtUPdMnZ_S8","watch")</f>
        <v/>
      </c>
      <c r="I64" s="6" t="inlineStr">
        <is>
          <t>Perfect Order Booster Bundle #2 ⚡ | Pack #3 (Getting Lucky?!)</t>
        </is>
      </c>
    </row>
    <row r="65">
      <c r="A65" s="10" t="n"/>
      <c r="B65" s="6" t="inlineStr">
        <is>
          <t>Decidueye ex</t>
        </is>
      </c>
      <c r="C65" s="6" t="inlineStr">
        <is>
          <t>Perfect Order</t>
        </is>
      </c>
      <c r="D65" s="6" t="inlineStr">
        <is>
          <t>Double Rare</t>
        </is>
      </c>
      <c r="E65" s="6" t="inlineStr">
        <is>
          <t>#100  Ultra Rare  $2.45</t>
        </is>
      </c>
      <c r="F65" s="6" t="inlineStr">
        <is>
          <t>#012  Double rare  $1.00</t>
        </is>
      </c>
      <c r="G65" s="11" t="n">
        <v>-1.45</v>
      </c>
      <c r="H65" s="7">
        <f>HYPERLINK("https://youtu.be/6sg185zTjM4","watch")</f>
        <v/>
      </c>
      <c r="I65" s="6" t="inlineStr">
        <is>
          <t>Perfect Order Booster Bundle ⚡ | Pack #4</t>
        </is>
      </c>
    </row>
    <row r="66">
      <c r="A66" s="10" t="n"/>
      <c r="B66" s="6" t="inlineStr">
        <is>
          <t>Mismagius ex</t>
        </is>
      </c>
      <c r="C66" s="6" t="inlineStr">
        <is>
          <t>Phantasmal Flames</t>
        </is>
      </c>
      <c r="D66" s="6" t="inlineStr">
        <is>
          <t>Double Rare</t>
        </is>
      </c>
      <c r="E66" s="6" t="inlineStr">
        <is>
          <t>#112  Ultra Rare  $2.87</t>
        </is>
      </c>
      <c r="F66" s="6" t="inlineStr">
        <is>
          <t>#036  Double rare  $1.47</t>
        </is>
      </c>
      <c r="G66" s="11" t="n">
        <v>-1.4</v>
      </c>
      <c r="H66" s="7">
        <f>HYPERLINK("https://youtu.be/Prq7KI6j1Vk","watch")</f>
        <v/>
      </c>
      <c r="I66" s="6" t="inlineStr">
        <is>
          <t>Only Garbage Rips 😬 | Phantasmal Flames Sleeved Boosters</t>
        </is>
      </c>
    </row>
    <row r="67">
      <c r="A67" s="10" t="n"/>
      <c r="B67" s="6" t="inlineStr">
        <is>
          <t>Mismagius ex</t>
        </is>
      </c>
      <c r="C67" s="6" t="inlineStr">
        <is>
          <t>Phantasmal Flames</t>
        </is>
      </c>
      <c r="D67" s="6" t="inlineStr">
        <is>
          <t>Double Rare</t>
        </is>
      </c>
      <c r="E67" s="6" t="inlineStr">
        <is>
          <t>#112  Ultra Rare  $2.87</t>
        </is>
      </c>
      <c r="F67" s="6" t="inlineStr">
        <is>
          <t>#036  Double rare  $1.47</t>
        </is>
      </c>
      <c r="G67" s="11" t="n">
        <v>-1.4</v>
      </c>
      <c r="H67" s="7">
        <f>HYPERLINK("https://youtu.be/JjTm-bYLhGE","watch")</f>
        <v/>
      </c>
      <c r="I67" s="6" t="inlineStr">
        <is>
          <t>First Partner Box #4 🎨 | STILL No 151 Starters… 😬</t>
        </is>
      </c>
    </row>
    <row r="68">
      <c r="A68" s="10" t="n"/>
      <c r="B68" s="6" t="inlineStr">
        <is>
          <t>Palossand ex</t>
        </is>
      </c>
      <c r="C68" s="6" t="inlineStr">
        <is>
          <t>Surging Sparks</t>
        </is>
      </c>
      <c r="D68" s="6" t="inlineStr">
        <is>
          <t>Double Rare</t>
        </is>
      </c>
      <c r="E68" s="6" t="inlineStr">
        <is>
          <t>#221  Ultra Rare  $1.99</t>
        </is>
      </c>
      <c r="F68" s="6" t="inlineStr">
        <is>
          <t>#091  Double rare  $0.99</t>
        </is>
      </c>
      <c r="G68" s="11" t="n">
        <v>-1</v>
      </c>
      <c r="H68" s="7">
        <f>HYPERLINK("https://youtu.be/ac3pK3zh0DE","watch")</f>
        <v/>
      </c>
      <c r="I68" s="6" t="inlineStr">
        <is>
          <t>Opening a Reshiram ex Box 😬 | Is This Worth It?</t>
        </is>
      </c>
    </row>
    <row r="69">
      <c r="A69" s="10" t="n"/>
      <c r="B69" s="6" t="inlineStr">
        <is>
          <t>Salazzle ex</t>
        </is>
      </c>
      <c r="C69" s="6" t="inlineStr">
        <is>
          <t>Perfect Order</t>
        </is>
      </c>
      <c r="D69" s="6" t="inlineStr">
        <is>
          <t>Double Rare</t>
        </is>
      </c>
      <c r="E69" s="6" t="inlineStr">
        <is>
          <t>#101  Ultra Rare  $2.07</t>
        </is>
      </c>
      <c r="F69" s="6" t="inlineStr">
        <is>
          <t>#016  Double rare  $1.12</t>
        </is>
      </c>
      <c r="G69" s="11" t="n">
        <v>-0.95</v>
      </c>
      <c r="H69" s="7">
        <f>HYPERLINK("https://youtu.be/z9fpigSEZ3Y","watch")</f>
        <v/>
      </c>
      <c r="I69" s="6" t="inlineStr">
        <is>
          <t>A Hit is a Hit! 💎 | Mega Zygarde Box #2 Pack #5</t>
        </is>
      </c>
    </row>
    <row r="70">
      <c r="A70" s="10" t="n"/>
      <c r="B70" s="6" t="inlineStr">
        <is>
          <t>Salazzle ex</t>
        </is>
      </c>
      <c r="C70" s="6" t="inlineStr">
        <is>
          <t>Perfect Order</t>
        </is>
      </c>
      <c r="D70" s="6" t="inlineStr">
        <is>
          <t>Double Rare</t>
        </is>
      </c>
      <c r="E70" s="6" t="inlineStr">
        <is>
          <t>#101  Ultra Rare  $2.07</t>
        </is>
      </c>
      <c r="F70" s="6" t="inlineStr">
        <is>
          <t>#016  Double rare  $1.12</t>
        </is>
      </c>
      <c r="G70" s="11" t="n">
        <v>-0.95</v>
      </c>
      <c r="H70" s="7">
        <f>HYPERLINK("https://youtu.be/EJ0AKqX2a_Q","watch")</f>
        <v/>
      </c>
      <c r="I70" s="6" t="inlineStr">
        <is>
          <t>Are Poke Ball Tins Actually LOADED? 😳</t>
        </is>
      </c>
    </row>
    <row r="71">
      <c r="A71" s="10" t="n"/>
      <c r="B71" s="6" t="inlineStr">
        <is>
          <t>Cyclizar ex</t>
        </is>
      </c>
      <c r="C71" s="6" t="inlineStr">
        <is>
          <t>Surging Sparks</t>
        </is>
      </c>
      <c r="D71" s="6" t="inlineStr">
        <is>
          <t>Double Rare</t>
        </is>
      </c>
      <c r="E71" s="6" t="inlineStr">
        <is>
          <t>#228  Ultra Rare  $1.79</t>
        </is>
      </c>
      <c r="F71" s="6" t="inlineStr">
        <is>
          <t>#159  Double rare  $0.99</t>
        </is>
      </c>
      <c r="G71" s="11" t="n">
        <v>-0.8</v>
      </c>
      <c r="H71" s="7">
        <f>HYPERLINK("https://youtu.be/EvVnOpgwSmo","watch")</f>
        <v/>
      </c>
      <c r="I71" s="6" t="inlineStr">
        <is>
          <t>Surging Sparks Booster Pack #2 ⚡ | Any Better?</t>
        </is>
      </c>
    </row>
    <row r="72">
      <c r="A72" s="10" t="n"/>
      <c r="B72" s="6" t="inlineStr">
        <is>
          <t>Cetitan ex</t>
        </is>
      </c>
      <c r="C72" s="6" t="inlineStr">
        <is>
          <t>Destined Rivals</t>
        </is>
      </c>
      <c r="D72" s="6" t="inlineStr">
        <is>
          <t>Double Rare</t>
        </is>
      </c>
      <c r="E72" s="6" t="inlineStr">
        <is>
          <t>#210  Ultra Rare  $1.99</t>
        </is>
      </c>
      <c r="F72" s="6" t="inlineStr">
        <is>
          <t>#065  Double rare  $1.33</t>
        </is>
      </c>
      <c r="G72" s="11" t="n">
        <v>-0.66</v>
      </c>
      <c r="H72" s="7">
        <f>HYPERLINK("https://youtu.be/kj7532tb0_I","watch")</f>
        <v/>
      </c>
      <c r="I72" s="6" t="inlineStr">
        <is>
          <t>Only Garbage Rips from the Latest Costco Charizard UPC Drop</t>
        </is>
      </c>
    </row>
    <row r="73">
      <c r="A73" s="10" t="n"/>
      <c r="B73" s="6" t="inlineStr">
        <is>
          <t>Empoleon ex</t>
        </is>
      </c>
      <c r="C73" s="6" t="inlineStr">
        <is>
          <t>Phantasmal Flames</t>
        </is>
      </c>
      <c r="D73" s="6" t="inlineStr">
        <is>
          <t>Double Rare</t>
        </is>
      </c>
      <c r="E73" s="6" t="inlineStr">
        <is>
          <t>#114  Ultra Rare  $2.08</t>
        </is>
      </c>
      <c r="F73" s="6" t="inlineStr">
        <is>
          <t>#070  Double rare  $1.50</t>
        </is>
      </c>
      <c r="G73" s="11" t="n">
        <v>-0.58</v>
      </c>
      <c r="H73" s="7">
        <f>HYPERLINK("https://youtu.be/F9mAQqKd6r8","watch")</f>
        <v/>
      </c>
      <c r="I73" s="6" t="inlineStr">
        <is>
          <t>Only Garbage Rips? 😬 | Mega Charizard X Tin</t>
        </is>
      </c>
    </row>
    <row r="74">
      <c r="A74" s="10" t="n"/>
      <c r="B74" s="6" t="inlineStr">
        <is>
          <t>Anthea &amp; Concordia</t>
        </is>
      </c>
      <c r="C74" s="6" t="inlineStr">
        <is>
          <t>Ascended Heroes</t>
        </is>
      </c>
      <c r="D74" s="6" t="inlineStr">
        <is>
          <t>Ultra Rare</t>
        </is>
      </c>
      <c r="E74" s="6" t="inlineStr">
        <is>
          <t>#182  Uncommon  $1.59</t>
        </is>
      </c>
      <c r="F74" s="6" t="inlineStr">
        <is>
          <t>#254  Ultra Rare  $1.35</t>
        </is>
      </c>
      <c r="G74" s="11" t="n">
        <v>-0.24</v>
      </c>
      <c r="H74" s="7">
        <f>HYPERLINK("https://youtu.be/fZk7D5Wd0Eg","watch")</f>
        <v/>
      </c>
      <c r="I74" s="6" t="inlineStr">
        <is>
          <t>Ascended Heroes First Partners Deluxe Pin Collection 🌱🔥💧</t>
        </is>
      </c>
    </row>
    <row r="75">
      <c r="A75" s="10" t="n"/>
      <c r="B75" s="6" t="inlineStr">
        <is>
          <t>Mamoswine ex</t>
        </is>
      </c>
      <c r="C75" s="6" t="inlineStr">
        <is>
          <t>Journey Together</t>
        </is>
      </c>
      <c r="D75" s="6" t="inlineStr">
        <is>
          <t>Double Rare</t>
        </is>
      </c>
      <c r="E75" s="6" t="inlineStr">
        <is>
          <t>#174  Ultra Rare  $1.50</t>
        </is>
      </c>
      <c r="F75" s="6" t="inlineStr">
        <is>
          <t>#079  Double rare  $1.30</t>
        </is>
      </c>
      <c r="G75" s="11" t="n">
        <v>-0.2</v>
      </c>
      <c r="H75" s="7">
        <f>HYPERLINK("https://youtu.be/76YEF7mdqvk","watch")</f>
        <v/>
      </c>
      <c r="I75" s="6" t="inlineStr">
        <is>
          <t>Journey Together Booster Bundle #2 ⚡ | Pack #4 We NEED A Hit 😬</t>
        </is>
      </c>
    </row>
    <row r="76">
      <c r="A76" s="10" t="n"/>
      <c r="B76" s="6" t="inlineStr">
        <is>
          <t>Team Rocket's Transceiver</t>
        </is>
      </c>
      <c r="C76" s="6" t="inlineStr">
        <is>
          <t>Ascended Heroes</t>
        </is>
      </c>
      <c r="D76" s="6" t="inlineStr">
        <is>
          <t>Ultra Rare</t>
        </is>
      </c>
      <c r="E76" s="6" t="inlineStr">
        <is>
          <t>#209  Uncommon  $1.70</t>
        </is>
      </c>
      <c r="F76" s="6" t="inlineStr">
        <is>
          <t>#263  Ultra Rare  $1.56</t>
        </is>
      </c>
      <c r="G76" s="11" t="n">
        <v>-0.14</v>
      </c>
      <c r="H76" s="7">
        <f>HYPERLINK("https://youtu.be/gFZ_jiV7DEY","watch")</f>
        <v/>
      </c>
      <c r="I76" s="6" t="inlineStr">
        <is>
          <t>LAST PACK MAGIC! 🚀 | Team Rocket Ultra Rare Pull!</t>
        </is>
      </c>
    </row>
    <row r="77">
      <c r="A77" s="12" t="n"/>
      <c r="B77" s="13" t="inlineStr">
        <is>
          <t>Mega Abomasnow ex</t>
        </is>
      </c>
      <c r="C77" s="13" t="inlineStr">
        <is>
          <t>Mega Symphonia (JP)</t>
        </is>
      </c>
      <c r="D77" s="13" t="inlineStr">
        <is>
          <t>Double Rare</t>
        </is>
      </c>
      <c r="E77" s="13" t="inlineStr">
        <is>
          <t>#076    no price</t>
        </is>
      </c>
      <c r="F77" s="13" t="inlineStr">
        <is>
          <t>#018  Double Rare  $0.35</t>
        </is>
      </c>
      <c r="G77" s="14" t="n">
        <v>0.35</v>
      </c>
      <c r="H77" s="15">
        <f>HYPERLINK("https://youtu.be/auKzs0g2LL8","watch")</f>
        <v/>
      </c>
      <c r="I77" s="13" t="inlineStr">
        <is>
          <t>Do Mega Symphonia Packs Actually Hit?! 🇯🇵✨</t>
        </is>
      </c>
    </row>
    <row r="78">
      <c r="A78" s="12" t="n"/>
      <c r="B78" s="13" t="inlineStr">
        <is>
          <t>Mabosstiff ex</t>
        </is>
      </c>
      <c r="C78" s="12" t="n"/>
      <c r="D78" s="13" t="inlineStr">
        <is>
          <t>Black Star Promo</t>
        </is>
      </c>
      <c r="E78" s="13" t="inlineStr">
        <is>
          <t>#--    no price</t>
        </is>
      </c>
      <c r="F78" s="13" t="inlineStr">
        <is>
          <t>#086  Black Star Promo  $0.45</t>
        </is>
      </c>
      <c r="G78" s="14" t="n">
        <v>0.45</v>
      </c>
      <c r="H78" s="15">
        <f>HYPERLINK("https://youtu.be/g9RQqx9da6Q","watch")</f>
        <v/>
      </c>
      <c r="I78" s="13" t="inlineStr">
        <is>
          <t>Only Garbage Rips? 😬 | Mabosstiff Box Opening 🐶</t>
        </is>
      </c>
    </row>
    <row r="79">
      <c r="A79" s="12" t="n"/>
      <c r="B79" s="13" t="inlineStr">
        <is>
          <t>Galarian Perrserker V</t>
        </is>
      </c>
      <c r="C79" s="13" t="inlineStr">
        <is>
          <t>Lost Origin</t>
        </is>
      </c>
      <c r="D79" s="12" t="n"/>
      <c r="E79" s="13" t="inlineStr">
        <is>
          <t>#--    no price</t>
        </is>
      </c>
      <c r="F79" s="13" t="inlineStr">
        <is>
          <t>#129    $0.75</t>
        </is>
      </c>
      <c r="G79" s="14" t="n">
        <v>0.75</v>
      </c>
      <c r="H79" s="15">
        <f>HYPERLINK("https://youtu.be/cg0H0ipfB90","watch")</f>
        <v/>
      </c>
      <c r="I79" s="13" t="inlineStr">
        <is>
          <t>Random 2-Pack Blister 😬 | Armarouge, Revavroom &amp; Houndstone</t>
        </is>
      </c>
    </row>
    <row r="80">
      <c r="A80" s="12" t="n"/>
      <c r="B80" s="13" t="inlineStr">
        <is>
          <t>Mega Venusaur ex</t>
        </is>
      </c>
      <c r="C80" s="12" t="n"/>
      <c r="D80" s="13" t="inlineStr">
        <is>
          <t>Black Star Promo</t>
        </is>
      </c>
      <c r="E80" s="13" t="inlineStr">
        <is>
          <t>#--    no price</t>
        </is>
      </c>
      <c r="F80" s="13" t="inlineStr">
        <is>
          <t>#013  Black Star Promo  $0.89</t>
        </is>
      </c>
      <c r="G80" s="14" t="n">
        <v>0.89</v>
      </c>
      <c r="H80" s="15">
        <f>HYPERLINK("https://youtu.be/j6O6KdblfeY","watch")</f>
        <v/>
      </c>
      <c r="I80" s="13" t="inlineStr">
        <is>
          <t>Mega Venusaur ex Premium Collection Opening 🌿🔥</t>
        </is>
      </c>
    </row>
    <row r="81">
      <c r="A81" s="12" t="n"/>
      <c r="B81" s="13" t="inlineStr">
        <is>
          <t>Mega Kangaskhan ex</t>
        </is>
      </c>
      <c r="C81" s="12" t="n"/>
      <c r="D81" s="13" t="inlineStr">
        <is>
          <t>Black Star Promo</t>
        </is>
      </c>
      <c r="E81" s="13" t="inlineStr">
        <is>
          <t>#--    no price</t>
        </is>
      </c>
      <c r="F81" s="13" t="inlineStr">
        <is>
          <t>#025  Black Star Promo  $1.00</t>
        </is>
      </c>
      <c r="G81" s="14" t="n">
        <v>1</v>
      </c>
      <c r="H81" s="15">
        <f>HYPERLINK("https://youtu.be/l6RPdGNs7uE","watch")</f>
        <v/>
      </c>
      <c r="I81" s="13" t="inlineStr">
        <is>
          <t>Only Garbage Rips from the Mega Kangaskhan ex Box</t>
        </is>
      </c>
    </row>
    <row r="82">
      <c r="A82" s="12" t="n"/>
      <c r="B82" s="13" t="inlineStr">
        <is>
          <t>Reshiram V</t>
        </is>
      </c>
      <c r="C82" s="13" t="inlineStr">
        <is>
          <t>Silver Tempest</t>
        </is>
      </c>
      <c r="D82" s="12" t="n"/>
      <c r="E82" s="13" t="inlineStr">
        <is>
          <t>#--    no price</t>
        </is>
      </c>
      <c r="F82" s="13" t="inlineStr">
        <is>
          <t>#024    $1.21</t>
        </is>
      </c>
      <c r="G82" s="14" t="n">
        <v>1.21</v>
      </c>
      <c r="H82" s="15">
        <f>HYPERLINK("https://youtu.be/cg0H0ipfB90","watch")</f>
        <v/>
      </c>
      <c r="I82" s="13" t="inlineStr">
        <is>
          <t>Random 2-Pack Blister 😬 | Armarouge, Revavroom &amp; Houndstone</t>
        </is>
      </c>
    </row>
    <row r="83">
      <c r="A83" s="12" t="n"/>
      <c r="B83" s="13" t="inlineStr">
        <is>
          <t>Poké Pad</t>
        </is>
      </c>
      <c r="C83" s="13" t="inlineStr">
        <is>
          <t>Nihil Zero (JP)</t>
        </is>
      </c>
      <c r="D83" s="13" t="inlineStr">
        <is>
          <t>Super Rare</t>
        </is>
      </c>
      <c r="E83" s="13" t="inlineStr">
        <is>
          <t>#--    no price</t>
        </is>
      </c>
      <c r="F83" s="13" t="inlineStr">
        <is>
          <t>#103  Super Rare  $2.02</t>
        </is>
      </c>
      <c r="G83" s="14" t="n">
        <v>2.02</v>
      </c>
      <c r="H83" s="15">
        <f>HYPERLINK("https://youtu.be/EPqUqzrAc30","watch")</f>
        <v/>
      </c>
      <c r="I83" s="13" t="inlineStr">
        <is>
          <t>More Japanese Nihil Zero Packs 🇯🇵🧊 | Buffalo TCG Con Pickups!</t>
        </is>
      </c>
    </row>
    <row r="84">
      <c r="A84" s="12" t="n"/>
      <c r="B84" s="13" t="inlineStr">
        <is>
          <t>Alolan Vulpix V</t>
        </is>
      </c>
      <c r="C84" s="13" t="inlineStr">
        <is>
          <t>Silver Tempest</t>
        </is>
      </c>
      <c r="D84" s="12" t="n"/>
      <c r="E84" s="13" t="inlineStr">
        <is>
          <t>#--    no price</t>
        </is>
      </c>
      <c r="F84" s="13" t="inlineStr">
        <is>
          <t>#033    $2.09</t>
        </is>
      </c>
      <c r="G84" s="14" t="n">
        <v>2.09</v>
      </c>
      <c r="H84" s="15">
        <f>HYPERLINK("https://youtu.be/g9RQqx9da6Q","watch")</f>
        <v/>
      </c>
      <c r="I84" s="13" t="inlineStr">
        <is>
          <t>Only Garbage Rips? 😬 | Mabosstiff Box Opening 🐶</t>
        </is>
      </c>
    </row>
    <row r="85">
      <c r="A85" s="12" t="n"/>
      <c r="B85" s="13" t="inlineStr">
        <is>
          <t>Mega Charizard Y ex</t>
        </is>
      </c>
      <c r="C85" s="12" t="n"/>
      <c r="D85" s="13" t="inlineStr">
        <is>
          <t>Black Star Promo</t>
        </is>
      </c>
      <c r="E85" s="13" t="inlineStr">
        <is>
          <t>#--    no price</t>
        </is>
      </c>
      <c r="F85" s="13" t="inlineStr">
        <is>
          <t>#030  Black Star Promo  $5.98</t>
        </is>
      </c>
      <c r="G85" s="14" t="n">
        <v>5.98</v>
      </c>
      <c r="H85" s="15">
        <f>HYPERLINK("https://youtu.be/GLM2VLIWZGo","watch")</f>
        <v/>
      </c>
      <c r="I85" s="13" t="inlineStr">
        <is>
          <t>Mega Charizard Y EX Tin 🔥 | Did We Hit?!</t>
        </is>
      </c>
    </row>
    <row r="86">
      <c r="A86" s="12" t="n"/>
      <c r="B86" s="13" t="inlineStr">
        <is>
          <t>Mega Charizard Y ex</t>
        </is>
      </c>
      <c r="C86" s="12" t="n"/>
      <c r="D86" s="13" t="inlineStr">
        <is>
          <t>Black Star Promo</t>
        </is>
      </c>
      <c r="E86" s="13" t="inlineStr">
        <is>
          <t>#--    no price</t>
        </is>
      </c>
      <c r="F86" s="13" t="inlineStr">
        <is>
          <t>#030  Black Star Promo  $5.98</t>
        </is>
      </c>
      <c r="G86" s="14" t="n">
        <v>5.98</v>
      </c>
      <c r="H86" s="15">
        <f>HYPERLINK("https://youtu.be/F9mAQqKd6r8","watch")</f>
        <v/>
      </c>
      <c r="I86" s="13" t="inlineStr">
        <is>
          <t>Only Garbage Rips? 😬 | Mega Charizard X Tin</t>
        </is>
      </c>
    </row>
    <row r="87">
      <c r="A87" s="12" t="n"/>
      <c r="B87" s="13" t="inlineStr">
        <is>
          <t>Paras</t>
        </is>
      </c>
      <c r="C87" s="13" t="inlineStr">
        <is>
          <t>Crown Zenith</t>
        </is>
      </c>
      <c r="D87" s="13" t="inlineStr">
        <is>
          <t>Rare</t>
        </is>
      </c>
      <c r="E87" s="13" t="inlineStr">
        <is>
          <t>#--    no price</t>
        </is>
      </c>
      <c r="F87" s="13" t="inlineStr">
        <is>
          <t>#GG32  Rare  $9.26</t>
        </is>
      </c>
      <c r="G87" s="14" t="n">
        <v>9.26</v>
      </c>
      <c r="H87" s="15">
        <f>HYPERLINK("https://youtu.be/U91JWMsUHAU","watch")</f>
        <v/>
      </c>
      <c r="I87" s="13" t="inlineStr">
        <is>
          <t>Pokémon Crown Zenith Booster Pack #1 👑 | First Pack Magic?</t>
        </is>
      </c>
    </row>
    <row r="88">
      <c r="A88" s="12" t="n"/>
      <c r="B88" s="13" t="inlineStr">
        <is>
          <t>Victini</t>
        </is>
      </c>
      <c r="C88" s="13" t="inlineStr">
        <is>
          <t>Scarlet &amp; Violet Black Star Promos</t>
        </is>
      </c>
      <c r="D88" s="12" t="n"/>
      <c r="E88" s="13" t="inlineStr">
        <is>
          <t>#--    no price</t>
        </is>
      </c>
      <c r="F88" s="13" t="inlineStr">
        <is>
          <t>#208    $13.96</t>
        </is>
      </c>
      <c r="G88" s="14" t="n">
        <v>13.96</v>
      </c>
      <c r="H88" s="15">
        <f>HYPERLINK("https://youtu.be/XjFoToaom6k","watch")</f>
        <v/>
      </c>
      <c r="I88" s="13" t="inlineStr">
        <is>
          <t>Pokémon Victini Illustration Collection 🔥 Only Garbage Rips? 😬</t>
        </is>
      </c>
    </row>
    <row r="89">
      <c r="A89" s="12" t="n"/>
      <c r="B89" s="13" t="inlineStr">
        <is>
          <t>Corviknight V Trainer Gallery</t>
        </is>
      </c>
      <c r="C89" s="13" t="inlineStr">
        <is>
          <t>Silver Tempest</t>
        </is>
      </c>
      <c r="D89" s="12" t="n"/>
      <c r="E89" s="13" t="inlineStr">
        <is>
          <t>#--    no price</t>
        </is>
      </c>
      <c r="F89" s="13" t="inlineStr">
        <is>
          <t>#TG18    $15.49</t>
        </is>
      </c>
      <c r="G89" s="14" t="n">
        <v>15.49</v>
      </c>
      <c r="H89" s="15">
        <f>HYPERLINK("https://youtu.be/cg0H0ipfB90","watch")</f>
        <v/>
      </c>
      <c r="I89" s="13" t="inlineStr">
        <is>
          <t>Random 2-Pack Blister 😬 | Armarouge, Revavroom &amp; Houndstone</t>
        </is>
      </c>
    </row>
    <row r="90">
      <c r="A90" s="12" t="n"/>
      <c r="B90" s="13" t="inlineStr">
        <is>
          <t>Gladion’s Final Battle</t>
        </is>
      </c>
      <c r="C90" s="13" t="inlineStr">
        <is>
          <t>Pitch Black</t>
        </is>
      </c>
      <c r="D90" s="13" t="inlineStr">
        <is>
          <t>Special Illustration Rare</t>
        </is>
      </c>
      <c r="E90" s="13" t="inlineStr">
        <is>
          <t>#--    no price</t>
        </is>
      </c>
      <c r="F90" s="13" t="inlineStr">
        <is>
          <t>#118  Special Illustration Rare  $29.17</t>
        </is>
      </c>
      <c r="G90" s="14" t="n">
        <v>29.17</v>
      </c>
      <c r="H90" s="15">
        <f>HYPERLINK("https://youtu.be/b1B3Vbpsrh8","watch")</f>
        <v/>
      </c>
      <c r="I90" s="13" t="inlineStr">
        <is>
          <t>I Pulled the BEST Trainer in the Set! ⚔️✨</t>
        </is>
      </c>
    </row>
    <row r="91">
      <c r="A91" s="12" t="n"/>
      <c r="B91" s="13" t="inlineStr">
        <is>
          <t>Team Rocket’s Mewtwo ex</t>
        </is>
      </c>
      <c r="C91" s="13" t="inlineStr">
        <is>
          <t>Destined Rivals</t>
        </is>
      </c>
      <c r="D91" s="13" t="inlineStr">
        <is>
          <t>Hyper Rare</t>
        </is>
      </c>
      <c r="E91" s="13" t="inlineStr">
        <is>
          <t>#--    no price</t>
        </is>
      </c>
      <c r="F91" s="13" t="inlineStr">
        <is>
          <t>#240  Hyper Rare  $58.81</t>
        </is>
      </c>
      <c r="G91" s="14" t="n">
        <v>58.81</v>
      </c>
      <c r="H91" s="15">
        <f>HYPERLINK("https://youtu.be/GK_IadR7G1g","watch")</f>
        <v/>
      </c>
      <c r="I91" s="13" t="inlineStr">
        <is>
          <t>WE HIT Team Rocket’s Mewtwo ex 🤯✨ | Destined Rivals Pack #6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2026-08-23T20:44:45Z</dcterms:created>
  <dcterms:modified xsi:type="dcterms:W3CDTF">2026-08-23T20:44:57Z</dcterms:modified>
</cp:coreProperties>
</file>